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bookViews>
    <workbookView xWindow="630" yWindow="600" windowWidth="22695" windowHeight="11190" activeTab="1"/>
  </bookViews>
  <sheets>
    <sheet name="Sheet2" sheetId="3" r:id="rId1"/>
    <sheet name="SalesData" sheetId="1" r:id="rId2"/>
    <sheet name="Sheet1" sheetId="2" r:id="rId3"/>
    <sheet name="Sheet3" sheetId="4" r:id="rId4"/>
  </sheets>
  <definedNames>
    <definedName name="_xlnm._FilterDatabase" localSheetId="1" hidden="1">SalesData!$A$1:$K$1</definedName>
    <definedName name="Slicer_Branch">#N/A</definedName>
    <definedName name="Slicer_Category">#N/A</definedName>
    <definedName name="Slicer_MONTH">#N/A</definedName>
    <definedName name="Slicer_MONTH1">#N/A</definedName>
    <definedName name="Slicer_OrderDate">#N/A</definedName>
  </definedNames>
  <calcPr calcId="145621"/>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G7" i="2" l="1"/>
  <c r="D7" i="2"/>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2" i="1"/>
  <c r="I11" i="2" l="1"/>
  <c r="E11" i="2"/>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2" i="1"/>
  <c r="J7" i="2"/>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2" i="1"/>
</calcChain>
</file>

<file path=xl/sharedStrings.xml><?xml version="1.0" encoding="utf-8"?>
<sst xmlns="http://schemas.openxmlformats.org/spreadsheetml/2006/main" count="1300" uniqueCount="85">
  <si>
    <t>OrderID</t>
  </si>
  <si>
    <t>OrderDate</t>
  </si>
  <si>
    <t>CustomerName</t>
  </si>
  <si>
    <t>Product</t>
  </si>
  <si>
    <t>Category</t>
  </si>
  <si>
    <t>Quantity</t>
  </si>
  <si>
    <t>Revenue</t>
  </si>
  <si>
    <t>Cost</t>
  </si>
  <si>
    <t>Branch</t>
  </si>
  <si>
    <t>Customer_16</t>
  </si>
  <si>
    <t>Jeans</t>
  </si>
  <si>
    <t>Clothing</t>
  </si>
  <si>
    <t>Giza</t>
  </si>
  <si>
    <t>Customer_5</t>
  </si>
  <si>
    <t>Chair</t>
  </si>
  <si>
    <t>Furniture</t>
  </si>
  <si>
    <t>Alex</t>
  </si>
  <si>
    <t>Customer_36</t>
  </si>
  <si>
    <t>Assiut</t>
  </si>
  <si>
    <t>Customer_4</t>
  </si>
  <si>
    <t>Shoes</t>
  </si>
  <si>
    <t>Cairo</t>
  </si>
  <si>
    <t>Customer_8</t>
  </si>
  <si>
    <t>Headphones</t>
  </si>
  <si>
    <t>Electronics</t>
  </si>
  <si>
    <t>Customer_24</t>
  </si>
  <si>
    <t>Customer_21</t>
  </si>
  <si>
    <t>Customer_15</t>
  </si>
  <si>
    <t>Desk</t>
  </si>
  <si>
    <t>Customer_6</t>
  </si>
  <si>
    <t>Customer_27</t>
  </si>
  <si>
    <t>Customer_37</t>
  </si>
  <si>
    <t>Laptop</t>
  </si>
  <si>
    <t>Customer_11</t>
  </si>
  <si>
    <t>Customer_28</t>
  </si>
  <si>
    <t>Customer_38</t>
  </si>
  <si>
    <t>Customer_20</t>
  </si>
  <si>
    <t>Phone</t>
  </si>
  <si>
    <t>Customer_7</t>
  </si>
  <si>
    <t>Shirt</t>
  </si>
  <si>
    <t>Customer_29</t>
  </si>
  <si>
    <t>Customer_2</t>
  </si>
  <si>
    <t>Customer_32</t>
  </si>
  <si>
    <t>Customer_23</t>
  </si>
  <si>
    <t>Customer_30</t>
  </si>
  <si>
    <t>Customer_33</t>
  </si>
  <si>
    <t>Customer_40</t>
  </si>
  <si>
    <t>Customer_17</t>
  </si>
  <si>
    <t>Customer_34</t>
  </si>
  <si>
    <t>Customer_22</t>
  </si>
  <si>
    <t>Customer_35</t>
  </si>
  <si>
    <t>Customer_1</t>
  </si>
  <si>
    <t>Customer_25</t>
  </si>
  <si>
    <t>Customer_26</t>
  </si>
  <si>
    <t>Customer_12</t>
  </si>
  <si>
    <t>Customer_39</t>
  </si>
  <si>
    <t>Customer_18</t>
  </si>
  <si>
    <t>Customer_19</t>
  </si>
  <si>
    <t>Customer_13</t>
  </si>
  <si>
    <t>Customer_10</t>
  </si>
  <si>
    <t>Customer_14</t>
  </si>
  <si>
    <t>Customer_9</t>
  </si>
  <si>
    <t>Customer_31</t>
  </si>
  <si>
    <t>Customer_3</t>
  </si>
  <si>
    <t>profit</t>
  </si>
  <si>
    <t>profit_margin</t>
  </si>
  <si>
    <t>total_revenue</t>
  </si>
  <si>
    <t>total_profit</t>
  </si>
  <si>
    <t>total orders</t>
  </si>
  <si>
    <t>total customers</t>
  </si>
  <si>
    <t>Grand Total</t>
  </si>
  <si>
    <t>Row Labels</t>
  </si>
  <si>
    <t>Sum of Revenue</t>
  </si>
  <si>
    <t>Sum of profit</t>
  </si>
  <si>
    <t>Sum of profit_margin</t>
  </si>
  <si>
    <t>Count of OrderID</t>
  </si>
  <si>
    <t>MONTH</t>
  </si>
  <si>
    <t>PROFIT MARGIN</t>
  </si>
  <si>
    <t>نلاحظ تطور ملحوظ في ايرادات شهر 2 عن شهر 1 ولكن اصبح في تراجع في الايرادات في الاشهر التاليه وبناء عليه افضل شهر مبيعا شهر 2</t>
  </si>
  <si>
    <t xml:space="preserve">نلاحظ افضل فروع في المبيعات هو فرع القاهرخ الاول ويليه فرع الجيزه وفي المؤخره فرع اسيوط ولكن الفرق بين فرع اسيوط وفرع الاسكندريه ليس بكبير  </t>
  </si>
  <si>
    <t xml:space="preserve">نلاحظ ايضا افضل منتج وحقق اعلي الايرادات هو منتج الملابس  ومن افضل الشهور في الايرادات كان شهر 3 حقق 90713 الف </t>
  </si>
  <si>
    <t xml:space="preserve">العميل 4 هو اكثر العملاء عمل اوامر طلبات بمقدار 18  طلب </t>
  </si>
  <si>
    <t xml:space="preserve">نلاحظ ان شهر 7 هو اعلي شهر حقق نسبه ارباح بمقدار 10.535 من بين جميع الشهور علي الرغم من ان ترتيبه من حيث الايرادات يقع الثالث ولكن هو الاعلي في نسبه الارباح  </t>
  </si>
  <si>
    <t>Sales Performance Dashboard</t>
  </si>
  <si>
    <t>Interactive Sales Analysis using Excel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</si>
</sst>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 _ج_._م_._‏_-;\-* #,##0.00\ _ج_._م_._‏_-;_-* &quot;-&quot;??\ _ج_._م_._‏_-;_-@_-"/>
    <numFmt numFmtId="164" formatCode="yyyy\-mm\-dd"/>
  </numFmts>
  <fonts count="5" x14ac:knownFonts="1">
    <font>
      <sz val="11"/>
      <color theme="1"/>
      <name val="Arial"/>
      <family val="2"/>
      <scheme val="minor"/>
    </font>
    <font>
      <b/>
      <sz val="11"/>
      <color theme="1"/>
      <name val="Arial"/>
      <family val="2"/>
      <scheme val="minor"/>
    </font>
    <font>
      <b/>
      <sz val="12"/>
      <color theme="1"/>
      <name val="Arial"/>
      <family val="2"/>
      <scheme val="minor"/>
    </font>
    <font>
      <sz val="11"/>
      <color theme="1"/>
      <name val="Arial"/>
      <family val="2"/>
      <scheme val="minor"/>
    </font>
    <font>
      <sz val="16"/>
      <color theme="1"/>
      <name val="Arial"/>
      <family val="2"/>
      <scheme val="minor"/>
    </font>
  </fonts>
  <fills count="4">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17">
    <xf numFmtId="0" fontId="0" fillId="0" borderId="0" xfId="0"/>
    <xf numFmtId="0" fontId="1" fillId="0" borderId="0" xfId="0" applyFont="1" applyAlignment="1">
      <alignment horizontal="center" vertical="center"/>
    </xf>
    <xf numFmtId="164" fontId="1" fillId="0" borderId="0" xfId="0" applyNumberFormat="1" applyFont="1" applyAlignment="1">
      <alignment horizontal="center" vertical="center"/>
    </xf>
    <xf numFmtId="0" fontId="0" fillId="0" borderId="0" xfId="0" pivotButton="1"/>
    <xf numFmtId="0" fontId="0" fillId="0" borderId="0" xfId="0" applyNumberFormat="1"/>
    <xf numFmtId="0" fontId="0" fillId="0" borderId="0" xfId="0" applyAlignment="1">
      <alignment horizontal="left"/>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xf numFmtId="43" fontId="2" fillId="3" borderId="1" xfId="1" applyFont="1" applyFill="1" applyBorder="1" applyAlignment="1">
      <alignment horizontal="center" vertical="center"/>
    </xf>
    <xf numFmtId="9" fontId="2" fillId="3" borderId="1" xfId="2" applyFont="1" applyFill="1" applyBorder="1" applyAlignment="1">
      <alignment horizontal="center" vertical="center"/>
    </xf>
    <xf numFmtId="0" fontId="0" fillId="0" borderId="0" xfId="0" applyAlignment="1">
      <alignment vertical="center"/>
    </xf>
    <xf numFmtId="0" fontId="1" fillId="0" borderId="0" xfId="0" applyFont="1" applyAlignment="1">
      <alignment horizontal="center"/>
    </xf>
    <xf numFmtId="0" fontId="4" fillId="0" borderId="0" xfId="0" applyFont="1" applyAlignment="1">
      <alignment vertical="center"/>
    </xf>
    <xf numFmtId="43" fontId="1" fillId="0" borderId="0" xfId="1" applyFont="1" applyAlignment="1">
      <alignment horizontal="center" vertical="center"/>
    </xf>
    <xf numFmtId="9" fontId="1" fillId="0" borderId="0" xfId="2" applyFont="1" applyAlignment="1">
      <alignment horizontal="center" vertical="center"/>
    </xf>
    <xf numFmtId="49" fontId="1" fillId="0" borderId="0" xfId="0" applyNumberFormat="1" applyFont="1" applyAlignment="1">
      <alignment horizontal="center" vertical="center"/>
    </xf>
  </cellXfs>
  <cellStyles count="3">
    <cellStyle name="Comma" xfId="1" builtinId="3"/>
    <cellStyle name="Normal" xfId="0" builtinId="0"/>
    <cellStyle name="Percent" xfId="2" builtinId="5"/>
  </cellStyles>
  <dxfs count="14">
    <dxf>
      <font>
        <b/>
        <i val="0"/>
        <strike val="0"/>
        <condense val="0"/>
        <extend val="0"/>
        <outline val="0"/>
        <shadow val="0"/>
        <u val="none"/>
        <vertAlign val="baseline"/>
        <sz val="11"/>
        <color theme="1"/>
        <name val="Arial"/>
        <scheme val="minor"/>
      </font>
      <numFmt numFmtId="30" formatCode="@"/>
      <alignment horizontal="center" vertical="center" textRotation="0" wrapText="0" indent="0" justifyLastLine="0" shrinkToFit="0" readingOrder="0"/>
    </dxf>
    <dxf>
      <font>
        <b/>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Arial"/>
        <scheme val="minor"/>
      </font>
      <numFmt numFmtId="164" formatCode="yyyy\-mm\-dd"/>
      <alignment horizontal="center" vertical="center" textRotation="0" wrapText="0" indent="0" justifyLastLine="0" shrinkToFit="0" readingOrder="0"/>
    </dxf>
    <dxf>
      <font>
        <b/>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ar-EG"/>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[Excel_Sales_Dashboard_Project.xlsx]Sheet2!PivotTable2</c:name>
    <c:fmtId val="1"/>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s>
    <c:plotArea>
      <c:layout/>
      <c:barChart>
        <c:barDir val="col"/>
        <c:grouping val="clustered"/>
        <c:varyColors val="0"/>
        <c:ser>
          <c:idx val="0"/>
          <c:order val="0"/>
          <c:tx>
            <c:strRef>
              <c:f>Sheet2!$K$4</c:f>
              <c:strCache>
                <c:ptCount val="1"/>
                <c:pt idx="0">
                  <c:v>Sum of Revenue</c:v>
                </c:pt>
              </c:strCache>
            </c:strRef>
          </c:tx>
          <c:invertIfNegative val="0"/>
          <c:cat>
            <c:strRef>
              <c:f>Sheet2!$J$5:$J$9</c:f>
              <c:strCache>
                <c:ptCount val="4"/>
                <c:pt idx="0">
                  <c:v>Alex</c:v>
                </c:pt>
                <c:pt idx="1">
                  <c:v>Assiut</c:v>
                </c:pt>
                <c:pt idx="2">
                  <c:v>Cairo</c:v>
                </c:pt>
                <c:pt idx="3">
                  <c:v>Giza</c:v>
                </c:pt>
              </c:strCache>
            </c:strRef>
          </c:cat>
          <c:val>
            <c:numRef>
              <c:f>Sheet2!$K$5:$K$9</c:f>
              <c:numCache>
                <c:formatCode>General</c:formatCode>
                <c:ptCount val="4"/>
                <c:pt idx="0">
                  <c:v>394614</c:v>
                </c:pt>
                <c:pt idx="1">
                  <c:v>384036</c:v>
                </c:pt>
                <c:pt idx="2">
                  <c:v>489741</c:v>
                </c:pt>
                <c:pt idx="3">
                  <c:v>481658</c:v>
                </c:pt>
              </c:numCache>
            </c:numRef>
          </c:val>
        </c:ser>
        <c:ser>
          <c:idx val="1"/>
          <c:order val="1"/>
          <c:tx>
            <c:strRef>
              <c:f>Sheet2!$L$4</c:f>
              <c:strCache>
                <c:ptCount val="1"/>
                <c:pt idx="0">
                  <c:v>Sum of profit</c:v>
                </c:pt>
              </c:strCache>
            </c:strRef>
          </c:tx>
          <c:invertIfNegative val="0"/>
          <c:cat>
            <c:strRef>
              <c:f>Sheet2!$J$5:$J$9</c:f>
              <c:strCache>
                <c:ptCount val="4"/>
                <c:pt idx="0">
                  <c:v>Alex</c:v>
                </c:pt>
                <c:pt idx="1">
                  <c:v>Assiut</c:v>
                </c:pt>
                <c:pt idx="2">
                  <c:v>Cairo</c:v>
                </c:pt>
                <c:pt idx="3">
                  <c:v>Giza</c:v>
                </c:pt>
              </c:strCache>
            </c:strRef>
          </c:cat>
          <c:val>
            <c:numRef>
              <c:f>Sheet2!$L$5:$L$9</c:f>
              <c:numCache>
                <c:formatCode>General</c:formatCode>
                <c:ptCount val="4"/>
                <c:pt idx="0">
                  <c:v>130442</c:v>
                </c:pt>
                <c:pt idx="1">
                  <c:v>117383</c:v>
                </c:pt>
                <c:pt idx="2">
                  <c:v>147060</c:v>
                </c:pt>
                <c:pt idx="3">
                  <c:v>141946</c:v>
                </c:pt>
              </c:numCache>
            </c:numRef>
          </c:val>
        </c:ser>
        <c:dLbls>
          <c:showLegendKey val="0"/>
          <c:showVal val="0"/>
          <c:showCatName val="0"/>
          <c:showSerName val="0"/>
          <c:showPercent val="0"/>
          <c:showBubbleSize val="0"/>
        </c:dLbls>
        <c:gapWidth val="150"/>
        <c:axId val="216058368"/>
        <c:axId val="212274560"/>
      </c:barChart>
      <c:catAx>
        <c:axId val="216058368"/>
        <c:scaling>
          <c:orientation val="maxMin"/>
        </c:scaling>
        <c:delete val="0"/>
        <c:axPos val="b"/>
        <c:majorTickMark val="out"/>
        <c:minorTickMark val="none"/>
        <c:tickLblPos val="nextTo"/>
        <c:crossAx val="212274560"/>
        <c:crosses val="autoZero"/>
        <c:auto val="1"/>
        <c:lblAlgn val="ctr"/>
        <c:lblOffset val="100"/>
        <c:noMultiLvlLbl val="0"/>
      </c:catAx>
      <c:valAx>
        <c:axId val="212274560"/>
        <c:scaling>
          <c:orientation val="minMax"/>
        </c:scaling>
        <c:delete val="0"/>
        <c:axPos val="r"/>
        <c:majorGridlines/>
        <c:numFmt formatCode="General" sourceLinked="1"/>
        <c:majorTickMark val="out"/>
        <c:minorTickMark val="none"/>
        <c:tickLblPos val="nextTo"/>
        <c:crossAx val="216058368"/>
        <c:crosses val="autoZero"/>
        <c:crossBetween val="between"/>
      </c:valAx>
    </c:plotArea>
    <c:legend>
      <c:legendPos val="l"/>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ar-EG"/>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[Excel_Sales_Dashboard_Project.xlsx]Sheet2!PivotTable3</c:name>
    <c:fmtId val="1"/>
  </c:pivotSource>
  <c:chart>
    <c:title>
      <c:tx>
        <c:rich>
          <a:bodyPr/>
          <a:lstStyle/>
          <a:p>
            <a:pPr>
              <a:defRPr/>
            </a:pPr>
            <a:r>
              <a:rPr lang="en-US"/>
              <a:t>PRODUCT</a:t>
            </a:r>
          </a:p>
          <a:p>
            <a:pPr>
              <a:defRPr/>
            </a:pPr>
            <a:endParaRPr lang="en-US"/>
          </a:p>
        </c:rich>
      </c:tx>
      <c:overlay val="0"/>
    </c:title>
    <c:autoTitleDeleted val="0"/>
    <c:pivotFmts>
      <c:pivotFmt>
        <c:idx val="0"/>
        <c:dLbl>
          <c:idx val="0"/>
          <c:delete val="1"/>
        </c:dLbl>
      </c:pivotFmt>
      <c:pivotFmt>
        <c:idx val="1"/>
        <c:dLbl>
          <c:idx val="0"/>
          <c:delete val="1"/>
        </c:dLbl>
      </c:pivotFmt>
      <c:pivotFmt>
        <c:idx val="2"/>
        <c:dLbl>
          <c:idx val="0"/>
          <c:showLegendKey val="0"/>
          <c:showVal val="1"/>
          <c:showCatName val="0"/>
          <c:showSerName val="1"/>
          <c:showPercent val="0"/>
          <c:showBubbleSize val="0"/>
        </c:dLbl>
      </c:pivotFmt>
      <c:pivotFmt>
        <c:idx val="3"/>
        <c:dLbl>
          <c:idx val="0"/>
          <c:showLegendKey val="0"/>
          <c:showVal val="1"/>
          <c:showCatName val="0"/>
          <c:showSerName val="1"/>
          <c:showPercent val="0"/>
          <c:showBubbleSize val="0"/>
        </c:dLbl>
      </c:pivotFmt>
      <c:pivotFmt>
        <c:idx val="4"/>
        <c:marker>
          <c:symbol val="none"/>
        </c:marker>
      </c:pivotFmt>
      <c:pivotFmt>
        <c:idx val="5"/>
        <c:dLbl>
          <c:idx val="0"/>
          <c:showLegendKey val="0"/>
          <c:showVal val="1"/>
          <c:showCatName val="0"/>
          <c:showSerName val="1"/>
          <c:showPercent val="0"/>
          <c:showBubbleSize val="0"/>
        </c:dLbl>
      </c:pivotFmt>
      <c:pivotFmt>
        <c:idx val="6"/>
        <c:marker>
          <c:symbol val="none"/>
        </c:marker>
      </c:pivotFmt>
      <c:pivotFmt>
        <c:idx val="7"/>
        <c:dLbl>
          <c:idx val="0"/>
          <c:showLegendKey val="0"/>
          <c:showVal val="1"/>
          <c:showCatName val="0"/>
          <c:showSerName val="1"/>
          <c:showPercent val="0"/>
          <c:showBubbleSize val="0"/>
        </c:dLbl>
      </c:pivotFmt>
    </c:pivotFmts>
    <c:plotArea>
      <c:layout/>
      <c:barChart>
        <c:barDir val="col"/>
        <c:grouping val="clustered"/>
        <c:varyColors val="0"/>
        <c:ser>
          <c:idx val="0"/>
          <c:order val="0"/>
          <c:tx>
            <c:strRef>
              <c:f>Sheet2!$J$27</c:f>
              <c:strCache>
                <c:ptCount val="1"/>
                <c:pt idx="0">
                  <c:v>Sum of Revenue</c:v>
                </c:pt>
              </c:strCache>
            </c:strRef>
          </c:tx>
          <c:invertIfNegative val="0"/>
          <c:cat>
            <c:strRef>
              <c:f>Sheet2!$I$28:$I$36</c:f>
              <c:strCache>
                <c:ptCount val="8"/>
                <c:pt idx="0">
                  <c:v>Chair</c:v>
                </c:pt>
                <c:pt idx="1">
                  <c:v>Desk</c:v>
                </c:pt>
                <c:pt idx="2">
                  <c:v>Headphones</c:v>
                </c:pt>
                <c:pt idx="3">
                  <c:v>Jeans</c:v>
                </c:pt>
                <c:pt idx="4">
                  <c:v>Laptop</c:v>
                </c:pt>
                <c:pt idx="5">
                  <c:v>Phone</c:v>
                </c:pt>
                <c:pt idx="6">
                  <c:v>Shirt</c:v>
                </c:pt>
                <c:pt idx="7">
                  <c:v>Shoes</c:v>
                </c:pt>
              </c:strCache>
            </c:strRef>
          </c:cat>
          <c:val>
            <c:numRef>
              <c:f>Sheet2!$J$28:$J$36</c:f>
              <c:numCache>
                <c:formatCode>General</c:formatCode>
                <c:ptCount val="8"/>
                <c:pt idx="0">
                  <c:v>226006</c:v>
                </c:pt>
                <c:pt idx="1">
                  <c:v>329254</c:v>
                </c:pt>
                <c:pt idx="2">
                  <c:v>185196</c:v>
                </c:pt>
                <c:pt idx="3">
                  <c:v>213154</c:v>
                </c:pt>
                <c:pt idx="4">
                  <c:v>138404</c:v>
                </c:pt>
                <c:pt idx="5">
                  <c:v>211105</c:v>
                </c:pt>
                <c:pt idx="6">
                  <c:v>234604</c:v>
                </c:pt>
                <c:pt idx="7">
                  <c:v>212326</c:v>
                </c:pt>
              </c:numCache>
            </c:numRef>
          </c:val>
        </c:ser>
        <c:ser>
          <c:idx val="1"/>
          <c:order val="1"/>
          <c:tx>
            <c:strRef>
              <c:f>Sheet2!$K$27</c:f>
              <c:strCache>
                <c:ptCount val="1"/>
                <c:pt idx="0">
                  <c:v>Sum of profit</c:v>
                </c:pt>
              </c:strCache>
            </c:strRef>
          </c:tx>
          <c:invertIfNegative val="0"/>
          <c:cat>
            <c:strRef>
              <c:f>Sheet2!$I$28:$I$36</c:f>
              <c:strCache>
                <c:ptCount val="8"/>
                <c:pt idx="0">
                  <c:v>Chair</c:v>
                </c:pt>
                <c:pt idx="1">
                  <c:v>Desk</c:v>
                </c:pt>
                <c:pt idx="2">
                  <c:v>Headphones</c:v>
                </c:pt>
                <c:pt idx="3">
                  <c:v>Jeans</c:v>
                </c:pt>
                <c:pt idx="4">
                  <c:v>Laptop</c:v>
                </c:pt>
                <c:pt idx="5">
                  <c:v>Phone</c:v>
                </c:pt>
                <c:pt idx="6">
                  <c:v>Shirt</c:v>
                </c:pt>
                <c:pt idx="7">
                  <c:v>Shoes</c:v>
                </c:pt>
              </c:strCache>
            </c:strRef>
          </c:cat>
          <c:val>
            <c:numRef>
              <c:f>Sheet2!$K$28:$K$36</c:f>
              <c:numCache>
                <c:formatCode>General</c:formatCode>
                <c:ptCount val="8"/>
                <c:pt idx="0">
                  <c:v>64871</c:v>
                </c:pt>
                <c:pt idx="1">
                  <c:v>101783</c:v>
                </c:pt>
                <c:pt idx="2">
                  <c:v>54703</c:v>
                </c:pt>
                <c:pt idx="3">
                  <c:v>64641</c:v>
                </c:pt>
                <c:pt idx="4">
                  <c:v>44280</c:v>
                </c:pt>
                <c:pt idx="5">
                  <c:v>66685</c:v>
                </c:pt>
                <c:pt idx="6">
                  <c:v>78670</c:v>
                </c:pt>
                <c:pt idx="7">
                  <c:v>61198</c:v>
                </c:pt>
              </c:numCache>
            </c:numRef>
          </c:val>
        </c:ser>
        <c:dLbls>
          <c:showLegendKey val="0"/>
          <c:showVal val="0"/>
          <c:showCatName val="0"/>
          <c:showSerName val="0"/>
          <c:showPercent val="0"/>
          <c:showBubbleSize val="0"/>
        </c:dLbls>
        <c:gapWidth val="150"/>
        <c:axId val="216186880"/>
        <c:axId val="212276864"/>
      </c:barChart>
      <c:catAx>
        <c:axId val="216186880"/>
        <c:scaling>
          <c:orientation val="maxMin"/>
        </c:scaling>
        <c:delete val="0"/>
        <c:axPos val="b"/>
        <c:majorTickMark val="none"/>
        <c:minorTickMark val="none"/>
        <c:tickLblPos val="nextTo"/>
        <c:crossAx val="212276864"/>
        <c:crosses val="autoZero"/>
        <c:auto val="1"/>
        <c:lblAlgn val="ctr"/>
        <c:lblOffset val="100"/>
        <c:noMultiLvlLbl val="0"/>
      </c:catAx>
      <c:valAx>
        <c:axId val="212276864"/>
        <c:scaling>
          <c:orientation val="minMax"/>
        </c:scaling>
        <c:delete val="0"/>
        <c:axPos val="r"/>
        <c:majorGridlines/>
        <c:title>
          <c:overlay val="0"/>
        </c:title>
        <c:numFmt formatCode="General" sourceLinked="1"/>
        <c:majorTickMark val="none"/>
        <c:minorTickMark val="none"/>
        <c:tickLblPos val="nextTo"/>
        <c:crossAx val="21618688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ar-EG"/>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[Excel_Sales_Dashboard_Project.xlsx]Sheet2!PivotTable1</c:name>
    <c:fmtId val="1"/>
  </c:pivotSource>
  <c:chart>
    <c:title>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s>
    <c:view3D>
      <c:rotX val="15"/>
      <c:rotY val="340"/>
      <c:rAngAx val="1"/>
    </c:view3D>
    <c:floor>
      <c:thickness val="0"/>
    </c:floor>
    <c:sideWall>
      <c:thickness val="0"/>
    </c:sideWall>
    <c:backWall>
      <c:thickness val="0"/>
    </c:backWall>
    <c:plotArea>
      <c:layout/>
      <c:bar3DChart>
        <c:barDir val="col"/>
        <c:grouping val="clustered"/>
        <c:varyColors val="0"/>
        <c:ser>
          <c:idx val="0"/>
          <c:order val="0"/>
          <c:tx>
            <c:strRef>
              <c:f>Sheet2!$B$3</c:f>
              <c:strCache>
                <c:ptCount val="1"/>
                <c:pt idx="0">
                  <c:v>Total</c:v>
                </c:pt>
              </c:strCache>
            </c:strRef>
          </c:tx>
          <c:invertIfNegative val="0"/>
          <c:cat>
            <c:strRef>
              <c:f>Sheet2!$A$4:$A$16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Sheet2!$B$4:$B$16</c:f>
              <c:numCache>
                <c:formatCode>General</c:formatCode>
                <c:ptCount val="12"/>
                <c:pt idx="0">
                  <c:v>113338</c:v>
                </c:pt>
                <c:pt idx="1">
                  <c:v>233734</c:v>
                </c:pt>
                <c:pt idx="2">
                  <c:v>195826</c:v>
                </c:pt>
                <c:pt idx="3">
                  <c:v>89339</c:v>
                </c:pt>
                <c:pt idx="4">
                  <c:v>170097</c:v>
                </c:pt>
                <c:pt idx="5">
                  <c:v>166157</c:v>
                </c:pt>
                <c:pt idx="6">
                  <c:v>171275</c:v>
                </c:pt>
                <c:pt idx="7">
                  <c:v>113852</c:v>
                </c:pt>
                <c:pt idx="8">
                  <c:v>119073</c:v>
                </c:pt>
                <c:pt idx="9">
                  <c:v>103285</c:v>
                </c:pt>
                <c:pt idx="10">
                  <c:v>154939</c:v>
                </c:pt>
                <c:pt idx="11">
                  <c:v>119134</c:v>
                </c:pt>
              </c:numCache>
            </c:numRef>
          </c:val>
        </c:ser>
        <c:dLbls>
          <c:showLegendKey val="0"/>
          <c:showVal val="0"/>
          <c:showCatName val="0"/>
          <c:showSerName val="0"/>
          <c:showPercent val="0"/>
          <c:showBubbleSize val="0"/>
        </c:dLbls>
        <c:gapWidth val="150"/>
        <c:shape val="box"/>
        <c:axId val="216188928"/>
        <c:axId val="212278016"/>
        <c:axId val="0"/>
      </c:bar3DChart>
      <c:catAx>
        <c:axId val="216188928"/>
        <c:scaling>
          <c:orientation val="maxMin"/>
        </c:scaling>
        <c:delete val="0"/>
        <c:axPos val="b"/>
        <c:majorTickMark val="out"/>
        <c:minorTickMark val="none"/>
        <c:tickLblPos val="nextTo"/>
        <c:crossAx val="212278016"/>
        <c:crosses val="autoZero"/>
        <c:auto val="1"/>
        <c:lblAlgn val="ctr"/>
        <c:lblOffset val="100"/>
        <c:noMultiLvlLbl val="0"/>
      </c:catAx>
      <c:valAx>
        <c:axId val="212278016"/>
        <c:scaling>
          <c:orientation val="minMax"/>
        </c:scaling>
        <c:delete val="0"/>
        <c:axPos val="r"/>
        <c:majorGridlines/>
        <c:numFmt formatCode="General" sourceLinked="1"/>
        <c:majorTickMark val="out"/>
        <c:minorTickMark val="none"/>
        <c:tickLblPos val="nextTo"/>
        <c:crossAx val="216188928"/>
        <c:crosses val="autoZero"/>
        <c:crossBetween val="between"/>
      </c:valAx>
    </c:plotArea>
    <c:legend>
      <c:legendPos val="l"/>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ar-EG"/>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[Excel_Sales_Dashboard_Project.xlsx]Sheet2!PivotTable2</c:name>
    <c:fmtId val="3"/>
  </c:pivotSource>
  <c:chart>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Sheet2!$K$4</c:f>
              <c:strCache>
                <c:ptCount val="1"/>
                <c:pt idx="0">
                  <c:v>Sum of Revenue</c:v>
                </c:pt>
              </c:strCache>
            </c:strRef>
          </c:tx>
          <c:invertIfNegative val="0"/>
          <c:cat>
            <c:strRef>
              <c:f>Sheet2!$J$5:$J$9</c:f>
              <c:strCache>
                <c:ptCount val="4"/>
                <c:pt idx="0">
                  <c:v>Alex</c:v>
                </c:pt>
                <c:pt idx="1">
                  <c:v>Assiut</c:v>
                </c:pt>
                <c:pt idx="2">
                  <c:v>Cairo</c:v>
                </c:pt>
                <c:pt idx="3">
                  <c:v>Giza</c:v>
                </c:pt>
              </c:strCache>
            </c:strRef>
          </c:cat>
          <c:val>
            <c:numRef>
              <c:f>Sheet2!$K$5:$K$9</c:f>
              <c:numCache>
                <c:formatCode>General</c:formatCode>
                <c:ptCount val="4"/>
                <c:pt idx="0">
                  <c:v>394614</c:v>
                </c:pt>
                <c:pt idx="1">
                  <c:v>384036</c:v>
                </c:pt>
                <c:pt idx="2">
                  <c:v>489741</c:v>
                </c:pt>
                <c:pt idx="3">
                  <c:v>481658</c:v>
                </c:pt>
              </c:numCache>
            </c:numRef>
          </c:val>
        </c:ser>
        <c:ser>
          <c:idx val="1"/>
          <c:order val="1"/>
          <c:tx>
            <c:strRef>
              <c:f>Sheet2!$L$4</c:f>
              <c:strCache>
                <c:ptCount val="1"/>
                <c:pt idx="0">
                  <c:v>Sum of profit</c:v>
                </c:pt>
              </c:strCache>
            </c:strRef>
          </c:tx>
          <c:invertIfNegative val="0"/>
          <c:cat>
            <c:strRef>
              <c:f>Sheet2!$J$5:$J$9</c:f>
              <c:strCache>
                <c:ptCount val="4"/>
                <c:pt idx="0">
                  <c:v>Alex</c:v>
                </c:pt>
                <c:pt idx="1">
                  <c:v>Assiut</c:v>
                </c:pt>
                <c:pt idx="2">
                  <c:v>Cairo</c:v>
                </c:pt>
                <c:pt idx="3">
                  <c:v>Giza</c:v>
                </c:pt>
              </c:strCache>
            </c:strRef>
          </c:cat>
          <c:val>
            <c:numRef>
              <c:f>Sheet2!$L$5:$L$9</c:f>
              <c:numCache>
                <c:formatCode>General</c:formatCode>
                <c:ptCount val="4"/>
                <c:pt idx="0">
                  <c:v>130442</c:v>
                </c:pt>
                <c:pt idx="1">
                  <c:v>117383</c:v>
                </c:pt>
                <c:pt idx="2">
                  <c:v>147060</c:v>
                </c:pt>
                <c:pt idx="3">
                  <c:v>141946</c:v>
                </c:pt>
              </c:numCache>
            </c:numRef>
          </c:val>
        </c:ser>
        <c:dLbls>
          <c:showLegendKey val="0"/>
          <c:showVal val="0"/>
          <c:showCatName val="0"/>
          <c:showSerName val="0"/>
          <c:showPercent val="0"/>
          <c:showBubbleSize val="0"/>
        </c:dLbls>
        <c:gapWidth val="150"/>
        <c:axId val="216189440"/>
        <c:axId val="215261760"/>
      </c:barChart>
      <c:catAx>
        <c:axId val="216189440"/>
        <c:scaling>
          <c:orientation val="minMax"/>
        </c:scaling>
        <c:delete val="0"/>
        <c:axPos val="r"/>
        <c:majorTickMark val="out"/>
        <c:minorTickMark val="none"/>
        <c:tickLblPos val="nextTo"/>
        <c:crossAx val="215261760"/>
        <c:crosses val="autoZero"/>
        <c:auto val="1"/>
        <c:lblAlgn val="ctr"/>
        <c:lblOffset val="100"/>
        <c:noMultiLvlLbl val="0"/>
      </c:catAx>
      <c:valAx>
        <c:axId val="215261760"/>
        <c:scaling>
          <c:orientation val="maxMin"/>
        </c:scaling>
        <c:delete val="0"/>
        <c:axPos val="b"/>
        <c:majorGridlines/>
        <c:numFmt formatCode="General" sourceLinked="1"/>
        <c:majorTickMark val="out"/>
        <c:minorTickMark val="none"/>
        <c:tickLblPos val="nextTo"/>
        <c:crossAx val="216189440"/>
        <c:crosses val="autoZero"/>
        <c:crossBetween val="between"/>
      </c:valAx>
    </c:plotArea>
    <c:legend>
      <c:legendPos val="l"/>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ar-EG"/>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[Excel_Sales_Dashboard_Project.xlsx]Sheet2!PivotTable1</c:name>
    <c:fmtId val="3"/>
  </c:pivotSource>
  <c:chart>
    <c:title>
      <c:overlay val="0"/>
    </c:title>
    <c:autoTitleDeleted val="0"/>
    <c:pivotFmts>
      <c:pivotFmt>
        <c:idx val="0"/>
        <c:marker>
          <c:symbol val="none"/>
        </c:marker>
      </c:pivotFmt>
      <c:pivotFmt>
        <c:idx val="1"/>
        <c:marker>
          <c:symbol val="none"/>
        </c:marker>
      </c:pivotFmt>
    </c:pivotFmts>
    <c:plotArea>
      <c:layout/>
      <c:lineChart>
        <c:grouping val="standard"/>
        <c:varyColors val="0"/>
        <c:ser>
          <c:idx val="0"/>
          <c:order val="0"/>
          <c:tx>
            <c:strRef>
              <c:f>Sheet2!$B$3</c:f>
              <c:strCache>
                <c:ptCount val="1"/>
                <c:pt idx="0">
                  <c:v>Total</c:v>
                </c:pt>
              </c:strCache>
            </c:strRef>
          </c:tx>
          <c:marker>
            <c:symbol val="none"/>
          </c:marker>
          <c:cat>
            <c:strRef>
              <c:f>Sheet2!$A$4:$A$16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Sheet2!$B$4:$B$16</c:f>
              <c:numCache>
                <c:formatCode>General</c:formatCode>
                <c:ptCount val="12"/>
                <c:pt idx="0">
                  <c:v>113338</c:v>
                </c:pt>
                <c:pt idx="1">
                  <c:v>233734</c:v>
                </c:pt>
                <c:pt idx="2">
                  <c:v>195826</c:v>
                </c:pt>
                <c:pt idx="3">
                  <c:v>89339</c:v>
                </c:pt>
                <c:pt idx="4">
                  <c:v>170097</c:v>
                </c:pt>
                <c:pt idx="5">
                  <c:v>166157</c:v>
                </c:pt>
                <c:pt idx="6">
                  <c:v>171275</c:v>
                </c:pt>
                <c:pt idx="7">
                  <c:v>113852</c:v>
                </c:pt>
                <c:pt idx="8">
                  <c:v>119073</c:v>
                </c:pt>
                <c:pt idx="9">
                  <c:v>103285</c:v>
                </c:pt>
                <c:pt idx="10">
                  <c:v>154939</c:v>
                </c:pt>
                <c:pt idx="11">
                  <c:v>119134</c:v>
                </c:pt>
              </c:numCache>
            </c:numRef>
          </c:val>
          <c:smooth val="0"/>
        </c:ser>
        <c:dLbls>
          <c:showLegendKey val="0"/>
          <c:showVal val="0"/>
          <c:showCatName val="0"/>
          <c:showSerName val="0"/>
          <c:showPercent val="0"/>
          <c:showBubbleSize val="0"/>
        </c:dLbls>
        <c:marker val="1"/>
        <c:smooth val="0"/>
        <c:axId val="216190464"/>
        <c:axId val="215263488"/>
      </c:lineChart>
      <c:catAx>
        <c:axId val="216190464"/>
        <c:scaling>
          <c:orientation val="maxMin"/>
        </c:scaling>
        <c:delete val="0"/>
        <c:axPos val="b"/>
        <c:majorTickMark val="out"/>
        <c:minorTickMark val="none"/>
        <c:tickLblPos val="nextTo"/>
        <c:crossAx val="215263488"/>
        <c:crosses val="autoZero"/>
        <c:auto val="1"/>
        <c:lblAlgn val="ctr"/>
        <c:lblOffset val="100"/>
        <c:noMultiLvlLbl val="0"/>
      </c:catAx>
      <c:valAx>
        <c:axId val="215263488"/>
        <c:scaling>
          <c:orientation val="minMax"/>
        </c:scaling>
        <c:delete val="0"/>
        <c:axPos val="r"/>
        <c:majorGridlines/>
        <c:numFmt formatCode="General" sourceLinked="1"/>
        <c:majorTickMark val="out"/>
        <c:minorTickMark val="none"/>
        <c:tickLblPos val="nextTo"/>
        <c:crossAx val="216190464"/>
        <c:crosses val="autoZero"/>
        <c:crossBetween val="between"/>
      </c:valAx>
    </c:plotArea>
    <c:legend>
      <c:legendPos val="l"/>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876299</xdr:colOff>
      <xdr:row>9</xdr:row>
      <xdr:rowOff>114301</xdr:rowOff>
    </xdr:from>
    <xdr:to>
      <xdr:col>10</xdr:col>
      <xdr:colOff>619124</xdr:colOff>
      <xdr:row>20</xdr:row>
      <xdr:rowOff>28576</xdr:rowOff>
    </xdr:to>
    <mc:AlternateContent xmlns:mc="http://schemas.openxmlformats.org/markup-compatibility/2006" xmlns:a14="http://schemas.microsoft.com/office/drawing/2010/main">
      <mc:Choice Requires="a14">
        <xdr:graphicFrame macro="">
          <xdr:nvGraphicFramePr>
            <xdr:cNvPr id="2" name="OrderDate"/>
            <xdr:cNvGraphicFramePr/>
          </xdr:nvGraphicFramePr>
          <xdr:xfrm>
            <a:off x="0" y="0"/>
            <a:ext cx="0" cy="0"/>
          </xdr:xfrm>
          <a:graphic>
            <a:graphicData uri="http://schemas.microsoft.com/office/drawing/2010/slicer">
              <sle:slicer xmlns:sle="http://schemas.microsoft.com/office/drawing/2010/slicer" name="OrderDate"/>
            </a:graphicData>
          </a:graphic>
        </xdr:graphicFrame>
      </mc:Choice>
      <mc:Fallback xmlns="">
        <xdr:sp macro="" textlink="">
          <xdr:nvSpPr>
            <xdr:cNvPr id="0" name=""/>
            <xdr:cNvSpPr>
              <a:spLocks noTextEdit="1"/>
            </xdr:cNvSpPr>
          </xdr:nvSpPr>
          <xdr:spPr>
            <a:xfrm>
              <a:off x="9858374" y="1743076"/>
              <a:ext cx="1743075" cy="1905000"/>
            </a:xfrm>
            <a:prstGeom prst="rect">
              <a:avLst/>
            </a:prstGeom>
            <a:solidFill>
              <a:prstClr val="white"/>
            </a:solidFill>
            <a:ln w="1">
              <a:solidFill>
                <a:prstClr val="green"/>
              </a:solidFill>
            </a:ln>
          </xdr:spPr>
          <xdr:txBody>
            <a:bodyPr vertOverflow="clip" horzOverflow="clip"/>
            <a:lstStyle/>
            <a:p>
              <a:r>
                <a:rPr lang="ar-EG"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190499</xdr:colOff>
      <xdr:row>9</xdr:row>
      <xdr:rowOff>123825</xdr:rowOff>
    </xdr:from>
    <xdr:to>
      <xdr:col>8</xdr:col>
      <xdr:colOff>800099</xdr:colOff>
      <xdr:row>20</xdr:row>
      <xdr:rowOff>85725</xdr:rowOff>
    </xdr:to>
    <mc:AlternateContent xmlns:mc="http://schemas.openxmlformats.org/markup-compatibility/2006" xmlns:a14="http://schemas.microsoft.com/office/drawing/2010/main">
      <mc:Choice Requires="a14">
        <xdr:graphicFrame macro="">
          <xdr:nvGraphicFramePr>
            <xdr:cNvPr id="3"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115299" y="1752600"/>
              <a:ext cx="1666875" cy="1952625"/>
            </a:xfrm>
            <a:prstGeom prst="rect">
              <a:avLst/>
            </a:prstGeom>
            <a:solidFill>
              <a:prstClr val="white"/>
            </a:solidFill>
            <a:ln w="1">
              <a:solidFill>
                <a:prstClr val="green"/>
              </a:solidFill>
            </a:ln>
          </xdr:spPr>
          <xdr:txBody>
            <a:bodyPr vertOverflow="clip" horzOverflow="clip"/>
            <a:lstStyle/>
            <a:p>
              <a:r>
                <a:rPr lang="ar-EG"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742950</xdr:colOff>
      <xdr:row>19</xdr:row>
      <xdr:rowOff>1</xdr:rowOff>
    </xdr:from>
    <xdr:to>
      <xdr:col>11</xdr:col>
      <xdr:colOff>762000</xdr:colOff>
      <xdr:row>25</xdr:row>
      <xdr:rowOff>104775</xdr:rowOff>
    </xdr:to>
    <mc:AlternateContent xmlns:mc="http://schemas.openxmlformats.org/markup-compatibility/2006" xmlns:a14="http://schemas.microsoft.com/office/drawing/2010/main">
      <mc:Choice Requires="a14">
        <xdr:graphicFrame macro="">
          <xdr:nvGraphicFramePr>
            <xdr:cNvPr id="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725275" y="3438526"/>
              <a:ext cx="1219200" cy="1190624"/>
            </a:xfrm>
            <a:prstGeom prst="rect">
              <a:avLst/>
            </a:prstGeom>
            <a:solidFill>
              <a:prstClr val="white"/>
            </a:solidFill>
            <a:ln w="1">
              <a:solidFill>
                <a:prstClr val="green"/>
              </a:solidFill>
            </a:ln>
          </xdr:spPr>
          <xdr:txBody>
            <a:bodyPr vertOverflow="clip" horzOverflow="clip"/>
            <a:lstStyle/>
            <a:p>
              <a:r>
                <a:rPr lang="ar-EG"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704850</xdr:colOff>
      <xdr:row>9</xdr:row>
      <xdr:rowOff>114301</xdr:rowOff>
    </xdr:from>
    <xdr:to>
      <xdr:col>11</xdr:col>
      <xdr:colOff>781050</xdr:colOff>
      <xdr:row>18</xdr:row>
      <xdr:rowOff>104776</xdr:rowOff>
    </xdr:to>
    <mc:AlternateContent xmlns:mc="http://schemas.openxmlformats.org/markup-compatibility/2006" xmlns:a14="http://schemas.microsoft.com/office/drawing/2010/main">
      <mc:Choice Requires="a14">
        <xdr:graphicFrame macro="">
          <xdr:nvGraphicFramePr>
            <xdr:cNvPr id="6" name="Branch"/>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1687175" y="1743076"/>
              <a:ext cx="1276350" cy="1619250"/>
            </a:xfrm>
            <a:prstGeom prst="rect">
              <a:avLst/>
            </a:prstGeom>
            <a:solidFill>
              <a:prstClr val="white"/>
            </a:solidFill>
            <a:ln w="1">
              <a:solidFill>
                <a:prstClr val="green"/>
              </a:solidFill>
            </a:ln>
          </xdr:spPr>
          <xdr:txBody>
            <a:bodyPr vertOverflow="clip" horzOverflow="clip"/>
            <a:lstStyle/>
            <a:p>
              <a:r>
                <a:rPr lang="ar-EG"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200024</xdr:colOff>
      <xdr:row>0</xdr:row>
      <xdr:rowOff>85726</xdr:rowOff>
    </xdr:from>
    <xdr:to>
      <xdr:col>8</xdr:col>
      <xdr:colOff>904874</xdr:colOff>
      <xdr:row>9</xdr:row>
      <xdr:rowOff>57151</xdr:rowOff>
    </xdr:to>
    <mc:AlternateContent xmlns:mc="http://schemas.openxmlformats.org/markup-compatibility/2006" xmlns:a14="http://schemas.microsoft.com/office/drawing/2010/main">
      <mc:Choice Requires="a14">
        <xdr:graphicFrame macro="">
          <xdr:nvGraphicFramePr>
            <xdr:cNvPr id="12"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124824" y="85726"/>
              <a:ext cx="1762125" cy="1619250"/>
            </a:xfrm>
            <a:prstGeom prst="rect">
              <a:avLst/>
            </a:prstGeom>
            <a:solidFill>
              <a:prstClr val="white"/>
            </a:solidFill>
            <a:ln w="1">
              <a:solidFill>
                <a:prstClr val="green"/>
              </a:solidFill>
            </a:ln>
          </xdr:spPr>
          <xdr:txBody>
            <a:bodyPr vertOverflow="clip" horzOverflow="clip"/>
            <a:lstStyle/>
            <a:p>
              <a:r>
                <a:rPr lang="ar-EG"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28575</xdr:rowOff>
    </xdr:from>
    <xdr:to>
      <xdr:col>6</xdr:col>
      <xdr:colOff>466725</xdr:colOff>
      <xdr:row>15</xdr:row>
      <xdr:rowOff>57150</xdr:rowOff>
    </xdr:to>
    <xdr:graphicFrame macro="">
      <xdr:nvGraphicFramePr>
        <xdr:cNvPr id="2"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657225</xdr:colOff>
      <xdr:row>0</xdr:row>
      <xdr:rowOff>47625</xdr:rowOff>
    </xdr:from>
    <xdr:to>
      <xdr:col>13</xdr:col>
      <xdr:colOff>428625</xdr:colOff>
      <xdr:row>15</xdr:row>
      <xdr:rowOff>76200</xdr:rowOff>
    </xdr:to>
    <xdr:graphicFrame macro="">
      <xdr:nvGraphicFramePr>
        <xdr:cNvPr id="3"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15</xdr:row>
      <xdr:rowOff>95249</xdr:rowOff>
    </xdr:from>
    <xdr:to>
      <xdr:col>15</xdr:col>
      <xdr:colOff>342900</xdr:colOff>
      <xdr:row>31</xdr:row>
      <xdr:rowOff>66674</xdr:rowOff>
    </xdr:to>
    <xdr:graphicFrame macro="">
      <xdr:nvGraphicFramePr>
        <xdr:cNvPr id="4"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419100</xdr:colOff>
      <xdr:row>16</xdr:row>
      <xdr:rowOff>0</xdr:rowOff>
    </xdr:from>
    <xdr:to>
      <xdr:col>22</xdr:col>
      <xdr:colOff>190500</xdr:colOff>
      <xdr:row>31</xdr:row>
      <xdr:rowOff>28575</xdr:rowOff>
    </xdr:to>
    <xdr:graphicFrame macro="">
      <xdr:nvGraphicFramePr>
        <xdr:cNvPr id="6"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581024</xdr:colOff>
      <xdr:row>1</xdr:row>
      <xdr:rowOff>47625</xdr:rowOff>
    </xdr:from>
    <xdr:to>
      <xdr:col>20</xdr:col>
      <xdr:colOff>247649</xdr:colOff>
      <xdr:row>16</xdr:row>
      <xdr:rowOff>19050</xdr:rowOff>
    </xdr:to>
    <xdr:graphicFrame macro="">
      <xdr:nvGraphicFramePr>
        <xdr:cNvPr id="7"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محمد" refreshedDate="46199.663281250003" createdVersion="4" refreshedVersion="4" minRefreshableVersion="3" recordCount="301">
  <cacheSource type="worksheet">
    <worksheetSource ref="A1:L1048576" sheet="SalesData"/>
  </cacheSource>
  <cacheFields count="12">
    <cacheField name="OrderID" numFmtId="0">
      <sharedItems containsString="0" containsBlank="1" containsNumber="1" containsInteger="1" minValue="1" maxValue="300"/>
    </cacheField>
    <cacheField name="OrderDate" numFmtId="0">
      <sharedItems containsNonDate="0" containsDate="1" containsString="0" containsBlank="1" minDate="2025-01-01T00:00:00" maxDate="2026-01-01T00:00:00"/>
    </cacheField>
    <cacheField name="CustomerName" numFmtId="0">
      <sharedItems containsBlank="1" count="41">
        <s v="Customer_16"/>
        <s v="Customer_5"/>
        <s v="Customer_36"/>
        <s v="Customer_4"/>
        <s v="Customer_8"/>
        <s v="Customer_24"/>
        <s v="Customer_21"/>
        <s v="Customer_15"/>
        <s v="Customer_6"/>
        <s v="Customer_27"/>
        <s v="Customer_37"/>
        <s v="Customer_11"/>
        <s v="Customer_28"/>
        <s v="Customer_38"/>
        <s v="Customer_20"/>
        <s v="Customer_7"/>
        <s v="Customer_29"/>
        <s v="Customer_2"/>
        <s v="Customer_32"/>
        <s v="Customer_23"/>
        <s v="Customer_30"/>
        <s v="Customer_33"/>
        <s v="Customer_40"/>
        <s v="Customer_17"/>
        <s v="Customer_34"/>
        <s v="Customer_22"/>
        <s v="Customer_35"/>
        <s v="Customer_1"/>
        <s v="Customer_25"/>
        <s v="Customer_26"/>
        <s v="Customer_12"/>
        <s v="Customer_39"/>
        <s v="Customer_18"/>
        <s v="Customer_19"/>
        <s v="Customer_13"/>
        <s v="Customer_10"/>
        <s v="Customer_14"/>
        <s v="Customer_9"/>
        <s v="Customer_31"/>
        <s v="Customer_3"/>
        <m/>
      </sharedItems>
    </cacheField>
    <cacheField name="Product" numFmtId="0">
      <sharedItems containsBlank="1" count="9">
        <s v="Jeans"/>
        <s v="Chair"/>
        <s v="Shoes"/>
        <s v="Headphones"/>
        <s v="Desk"/>
        <s v="Laptop"/>
        <s v="Phone"/>
        <s v="Shirt"/>
        <m/>
      </sharedItems>
    </cacheField>
    <cacheField name="Category" numFmtId="0">
      <sharedItems containsBlank="1" count="4">
        <s v="Clothing"/>
        <s v="Furniture"/>
        <s v="Electronics"/>
        <m/>
      </sharedItems>
    </cacheField>
    <cacheField name="Quantity" numFmtId="0">
      <sharedItems containsString="0" containsBlank="1" containsNumber="1" containsInteger="1" minValue="1" maxValue="10"/>
    </cacheField>
    <cacheField name="Revenue" numFmtId="0">
      <sharedItems containsString="0" containsBlank="1" containsNumber="1" containsInteger="1" minValue="121" maxValue="19870"/>
    </cacheField>
    <cacheField name="Cost" numFmtId="0">
      <sharedItems containsString="0" containsBlank="1" containsNumber="1" containsInteger="1" minValue="82" maxValue="16889"/>
    </cacheField>
    <cacheField name="profit" numFmtId="0">
      <sharedItems containsString="0" containsBlank="1" containsNumber="1" containsInteger="1" minValue="39" maxValue="7598"/>
    </cacheField>
    <cacheField name="profit_margin" numFmtId="0">
      <sharedItems containsString="0" containsBlank="1" containsNumber="1" minValue="0.15" maxValue="0.45103448275862068"/>
    </cacheField>
    <cacheField name="Branch" numFmtId="0">
      <sharedItems containsBlank="1"/>
    </cacheField>
    <cacheField name="MONTH" numFmtId="0">
      <sharedItems containsString="0" containsBlank="1" containsNumber="1" containsInteger="1" minValue="1" maxValue="12" count="13">
        <n v="2"/>
        <n v="7"/>
        <n v="5"/>
        <n v="3"/>
        <n v="8"/>
        <n v="6"/>
        <n v="11"/>
        <n v="12"/>
        <n v="1"/>
        <n v="9"/>
        <n v="10"/>
        <n v="4"/>
        <m/>
      </sharedItems>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محمد" refreshedDate="46199.663281944442" createdVersion="4" refreshedVersion="4" minRefreshableVersion="3" recordCount="300">
  <cacheSource type="worksheet">
    <worksheetSource name="Table1"/>
  </cacheSource>
  <cacheFields count="12">
    <cacheField name="OrderID" numFmtId="0">
      <sharedItems containsSemiMixedTypes="0" containsString="0" containsNumber="1" containsInteger="1" minValue="1" maxValue="300"/>
    </cacheField>
    <cacheField name="OrderDate" numFmtId="164">
      <sharedItems containsSemiMixedTypes="0" containsNonDate="0" containsDate="1" containsString="0" minDate="2025-01-01T00:00:00" maxDate="2026-01-01T00:00:00" count="197">
        <d v="2025-02-23T00:00:00"/>
        <d v="2025-07-28T00:00:00"/>
        <d v="2025-05-10T00:00:00"/>
        <d v="2025-03-02T00:00:00"/>
        <d v="2025-08-09T00:00:00"/>
        <d v="2025-03-29T00:00:00"/>
        <d v="2025-06-22T00:00:00"/>
        <d v="2025-08-19T00:00:00"/>
        <d v="2025-05-16T00:00:00"/>
        <d v="2025-07-11T00:00:00"/>
        <d v="2025-02-25T00:00:00"/>
        <d v="2025-05-04T00:00:00"/>
        <d v="2025-06-30T00:00:00"/>
        <d v="2025-11-01T00:00:00"/>
        <d v="2025-12-05T00:00:00"/>
        <d v="2025-12-02T00:00:00"/>
        <d v="2025-07-24T00:00:00"/>
        <d v="2025-01-15T00:00:00"/>
        <d v="2025-07-15T00:00:00"/>
        <d v="2025-09-25T00:00:00"/>
        <d v="2025-05-25T00:00:00"/>
        <d v="2025-05-06T00:00:00"/>
        <d v="2025-09-16T00:00:00"/>
        <d v="2025-10-29T00:00:00"/>
        <d v="2025-01-20T00:00:00"/>
        <d v="2025-01-22T00:00:00"/>
        <d v="2025-09-13T00:00:00"/>
        <d v="2025-03-15T00:00:00"/>
        <d v="2025-06-20T00:00:00"/>
        <d v="2025-06-10T00:00:00"/>
        <d v="2025-06-23T00:00:00"/>
        <d v="2025-01-17T00:00:00"/>
        <d v="2025-06-17T00:00:00"/>
        <d v="2025-01-19T00:00:00"/>
        <d v="2025-09-09T00:00:00"/>
        <d v="2025-02-05T00:00:00"/>
        <d v="2025-11-27T00:00:00"/>
        <d v="2025-05-15T00:00:00"/>
        <d v="2025-02-07T00:00:00"/>
        <d v="2025-08-24T00:00:00"/>
        <d v="2025-12-03T00:00:00"/>
        <d v="2025-06-15T00:00:00"/>
        <d v="2025-06-12T00:00:00"/>
        <d v="2025-03-18T00:00:00"/>
        <d v="2025-03-12T00:00:00"/>
        <d v="2025-05-23T00:00:00"/>
        <d v="2025-06-14T00:00:00"/>
        <d v="2025-08-26T00:00:00"/>
        <d v="2025-05-09T00:00:00"/>
        <d v="2025-02-27T00:00:00"/>
        <d v="2025-08-05T00:00:00"/>
        <d v="2025-10-21T00:00:00"/>
        <d v="2025-08-28T00:00:00"/>
        <d v="2025-01-03T00:00:00"/>
        <d v="2025-08-31T00:00:00"/>
        <d v="2025-02-28T00:00:00"/>
        <d v="2025-10-16T00:00:00"/>
        <d v="2025-12-26T00:00:00"/>
        <d v="2025-06-09T00:00:00"/>
        <d v="2025-10-26T00:00:00"/>
        <d v="2025-08-17T00:00:00"/>
        <d v="2025-02-20T00:00:00"/>
        <d v="2025-04-15T00:00:00"/>
        <d v="2025-04-11T00:00:00"/>
        <d v="2025-11-29T00:00:00"/>
        <d v="2025-01-27T00:00:00"/>
        <d v="2025-04-03T00:00:00"/>
        <d v="2025-02-10T00:00:00"/>
        <d v="2025-02-02T00:00:00"/>
        <d v="2025-12-25T00:00:00"/>
        <d v="2025-04-16T00:00:00"/>
        <d v="2025-10-09T00:00:00"/>
        <d v="2025-12-31T00:00:00"/>
        <d v="2025-10-04T00:00:00"/>
        <d v="2025-08-02T00:00:00"/>
        <d v="2025-03-14T00:00:00"/>
        <d v="2025-01-04T00:00:00"/>
        <d v="2025-11-22T00:00:00"/>
        <d v="2025-02-03T00:00:00"/>
        <d v="2025-06-07T00:00:00"/>
        <d v="2025-04-21T00:00:00"/>
        <d v="2025-09-12T00:00:00"/>
        <d v="2025-08-15T00:00:00"/>
        <d v="2025-07-12T00:00:00"/>
        <d v="2025-12-19T00:00:00"/>
        <d v="2025-07-26T00:00:00"/>
        <d v="2025-12-15T00:00:00"/>
        <d v="2025-06-21T00:00:00"/>
        <d v="2025-12-29T00:00:00"/>
        <d v="2025-10-01T00:00:00"/>
        <d v="2025-07-10T00:00:00"/>
        <d v="2025-03-25T00:00:00"/>
        <d v="2025-11-24T00:00:00"/>
        <d v="2025-10-20T00:00:00"/>
        <d v="2025-01-01T00:00:00"/>
        <d v="2025-05-26T00:00:00"/>
        <d v="2025-04-17T00:00:00"/>
        <d v="2025-07-20T00:00:00"/>
        <d v="2025-09-22T00:00:00"/>
        <d v="2025-07-13T00:00:00"/>
        <d v="2025-04-25T00:00:00"/>
        <d v="2025-09-27T00:00:00"/>
        <d v="2025-03-07T00:00:00"/>
        <d v="2025-04-18T00:00:00"/>
        <d v="2025-11-07T00:00:00"/>
        <d v="2025-06-26T00:00:00"/>
        <d v="2025-07-08T00:00:00"/>
        <d v="2025-05-13T00:00:00"/>
        <d v="2025-07-01T00:00:00"/>
        <d v="2025-04-12T00:00:00"/>
        <d v="2025-03-01T00:00:00"/>
        <d v="2025-11-08T00:00:00"/>
        <d v="2025-09-30T00:00:00"/>
        <d v="2025-12-06T00:00:00"/>
        <d v="2025-02-24T00:00:00"/>
        <d v="2025-08-27T00:00:00"/>
        <d v="2025-11-17T00:00:00"/>
        <d v="2025-02-16T00:00:00"/>
        <d v="2025-01-31T00:00:00"/>
        <d v="2025-12-11T00:00:00"/>
        <d v="2025-10-18T00:00:00"/>
        <d v="2025-04-01T00:00:00"/>
        <d v="2025-09-11T00:00:00"/>
        <d v="2025-12-18T00:00:00"/>
        <d v="2025-12-23T00:00:00"/>
        <d v="2025-03-03T00:00:00"/>
        <d v="2025-09-29T00:00:00"/>
        <d v="2025-01-12T00:00:00"/>
        <d v="2025-07-16T00:00:00"/>
        <d v="2025-08-23T00:00:00"/>
        <d v="2025-04-07T00:00:00"/>
        <d v="2025-09-21T00:00:00"/>
        <d v="2025-11-28T00:00:00"/>
        <d v="2025-06-02T00:00:00"/>
        <d v="2025-01-30T00:00:00"/>
        <d v="2025-05-30T00:00:00"/>
        <d v="2025-11-04T00:00:00"/>
        <d v="2025-03-06T00:00:00"/>
        <d v="2025-05-03T00:00:00"/>
        <d v="2025-02-21T00:00:00"/>
        <d v="2025-10-25T00:00:00"/>
        <d v="2025-03-09T00:00:00"/>
        <d v="2025-11-15T00:00:00"/>
        <d v="2025-04-19T00:00:00"/>
        <d v="2025-05-21T00:00:00"/>
        <d v="2025-05-31T00:00:00"/>
        <d v="2025-02-04T00:00:00"/>
        <d v="2025-04-27T00:00:00"/>
        <d v="2025-11-21T00:00:00"/>
        <d v="2025-12-17T00:00:00"/>
        <d v="2025-02-22T00:00:00"/>
        <d v="2025-02-01T00:00:00"/>
        <d v="2025-08-14T00:00:00"/>
        <d v="2025-05-07T00:00:00"/>
        <d v="2025-08-20T00:00:00"/>
        <d v="2025-02-09T00:00:00"/>
        <d v="2025-03-22T00:00:00"/>
        <d v="2025-06-03T00:00:00"/>
        <d v="2025-12-16T00:00:00"/>
        <d v="2025-07-23T00:00:00"/>
        <d v="2025-02-14T00:00:00"/>
        <d v="2025-09-01T00:00:00"/>
        <d v="2025-05-29T00:00:00"/>
        <d v="2025-10-07T00:00:00"/>
        <d v="2025-09-20T00:00:00"/>
        <d v="2025-03-31T00:00:00"/>
        <d v="2025-04-14T00:00:00"/>
        <d v="2025-09-10T00:00:00"/>
        <d v="2025-08-08T00:00:00"/>
        <d v="2025-04-02T00:00:00"/>
        <d v="2025-12-12T00:00:00"/>
        <d v="2025-07-06T00:00:00"/>
        <d v="2025-11-10T00:00:00"/>
        <d v="2025-01-25T00:00:00"/>
        <d v="2025-05-02T00:00:00"/>
        <d v="2025-06-01T00:00:00"/>
        <d v="2025-01-16T00:00:00"/>
        <d v="2025-03-17T00:00:00"/>
        <d v="2025-11-11T00:00:00"/>
        <d v="2025-01-08T00:00:00"/>
        <d v="2025-03-04T00:00:00"/>
        <d v="2025-08-13T00:00:00"/>
        <d v="2025-02-15T00:00:00"/>
        <d v="2025-12-04T00:00:00"/>
        <d v="2025-04-13T00:00:00"/>
        <d v="2025-07-31T00:00:00"/>
        <d v="2025-11-06T00:00:00"/>
        <d v="2025-02-12T00:00:00"/>
        <d v="2025-07-19T00:00:00"/>
        <d v="2025-09-24T00:00:00"/>
        <d v="2025-06-25T00:00:00"/>
        <d v="2025-10-17T00:00:00"/>
        <d v="2025-12-08T00:00:00"/>
        <d v="2025-11-05T00:00:00"/>
        <d v="2025-04-04T00:00:00"/>
        <d v="2025-03-23T00:00:00"/>
        <d v="2025-07-29T00:00:00"/>
      </sharedItems>
    </cacheField>
    <cacheField name="CustomerName" numFmtId="0">
      <sharedItems/>
    </cacheField>
    <cacheField name="Product" numFmtId="0">
      <sharedItems/>
    </cacheField>
    <cacheField name="Category" numFmtId="0">
      <sharedItems count="3">
        <s v="Clothing"/>
        <s v="Furniture"/>
        <s v="Electronics"/>
      </sharedItems>
    </cacheField>
    <cacheField name="Quantity" numFmtId="0">
      <sharedItems containsSemiMixedTypes="0" containsString="0" containsNumber="1" containsInteger="1" minValue="1" maxValue="10"/>
    </cacheField>
    <cacheField name="Revenue" numFmtId="0">
      <sharedItems containsSemiMixedTypes="0" containsString="0" containsNumber="1" containsInteger="1" minValue="121" maxValue="19870"/>
    </cacheField>
    <cacheField name="Cost" numFmtId="0">
      <sharedItems containsSemiMixedTypes="0" containsString="0" containsNumber="1" containsInteger="1" minValue="82" maxValue="16889"/>
    </cacheField>
    <cacheField name="profit" numFmtId="0">
      <sharedItems containsSemiMixedTypes="0" containsString="0" containsNumber="1" containsInteger="1" minValue="39" maxValue="7598"/>
    </cacheField>
    <cacheField name="profit_margin" numFmtId="0">
      <sharedItems containsSemiMixedTypes="0" containsString="0" containsNumber="1" minValue="0.15" maxValue="0.45103448275862068"/>
    </cacheField>
    <cacheField name="Branch" numFmtId="0">
      <sharedItems count="4">
        <s v="Giza"/>
        <s v="Alex"/>
        <s v="Assiut"/>
        <s v="Cairo"/>
      </sharedItems>
    </cacheField>
    <cacheField name="MONTH" numFmtId="0">
      <sharedItems containsSemiMixedTypes="0" containsString="0" containsNumber="1" containsInteger="1" minValue="1" maxValue="12" count="12">
        <n v="2"/>
        <n v="7"/>
        <n v="5"/>
        <n v="3"/>
        <n v="8"/>
        <n v="6"/>
        <n v="11"/>
        <n v="12"/>
        <n v="1"/>
        <n v="9"/>
        <n v="10"/>
        <n v="4"/>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محمد" refreshedDate="46199.663282175927" createdVersion="4" refreshedVersion="4" minRefreshableVersion="3" recordCount="301">
  <cacheSource type="worksheet">
    <worksheetSource ref="A1:K1048576" sheet="SalesData"/>
  </cacheSource>
  <cacheFields count="11">
    <cacheField name="OrderID" numFmtId="0">
      <sharedItems containsString="0" containsBlank="1" containsNumber="1" containsInteger="1" minValue="1" maxValue="300"/>
    </cacheField>
    <cacheField name="OrderDate" numFmtId="0">
      <sharedItems containsNonDate="0" containsDate="1" containsString="0" containsBlank="1" minDate="2025-01-01T00:00:00" maxDate="2026-01-01T00:00:00"/>
    </cacheField>
    <cacheField name="CustomerName" numFmtId="0">
      <sharedItems containsBlank="1"/>
    </cacheField>
    <cacheField name="Product" numFmtId="0">
      <sharedItems containsBlank="1"/>
    </cacheField>
    <cacheField name="Category" numFmtId="0">
      <sharedItems containsBlank="1"/>
    </cacheField>
    <cacheField name="Quantity" numFmtId="0">
      <sharedItems containsString="0" containsBlank="1" containsNumber="1" containsInteger="1" minValue="1" maxValue="10"/>
    </cacheField>
    <cacheField name="Revenue" numFmtId="0">
      <sharedItems containsString="0" containsBlank="1" containsNumber="1" containsInteger="1" minValue="121" maxValue="19870"/>
    </cacheField>
    <cacheField name="Cost" numFmtId="0">
      <sharedItems containsString="0" containsBlank="1" containsNumber="1" containsInteger="1" minValue="82" maxValue="16889"/>
    </cacheField>
    <cacheField name="profit" numFmtId="0">
      <sharedItems containsString="0" containsBlank="1" containsNumber="1" containsInteger="1" minValue="39" maxValue="7598"/>
    </cacheField>
    <cacheField name="profit_margin" numFmtId="0">
      <sharedItems containsString="0" containsBlank="1" containsNumber="1" minValue="0.15" maxValue="0.45103448275862068"/>
    </cacheField>
    <cacheField name="Branch" numFmtId="0">
      <sharedItems containsBlank="1" count="5">
        <s v="Giza"/>
        <s v="Alex"/>
        <s v="Assiut"/>
        <s v="Cairo"/>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01">
  <r>
    <n v="1"/>
    <d v="2025-02-23T00:00:00"/>
    <x v="0"/>
    <x v="0"/>
    <x v="0"/>
    <n v="5"/>
    <n v="720"/>
    <n v="439"/>
    <n v="281"/>
    <n v="0.39027777777777778"/>
    <s v="Giza"/>
    <x v="0"/>
  </r>
  <r>
    <n v="2"/>
    <d v="2025-07-28T00:00:00"/>
    <x v="1"/>
    <x v="1"/>
    <x v="1"/>
    <n v="3"/>
    <n v="5367"/>
    <n v="3220"/>
    <n v="2147"/>
    <n v="0.40003726476616358"/>
    <s v="Alex"/>
    <x v="1"/>
  </r>
  <r>
    <n v="3"/>
    <d v="2025-05-10T00:00:00"/>
    <x v="2"/>
    <x v="1"/>
    <x v="1"/>
    <n v="9"/>
    <n v="13977"/>
    <n v="9364"/>
    <n v="4613"/>
    <n v="0.33004221220576663"/>
    <s v="Assiut"/>
    <x v="2"/>
  </r>
  <r>
    <n v="4"/>
    <d v="2025-03-02T00:00:00"/>
    <x v="3"/>
    <x v="2"/>
    <x v="0"/>
    <n v="3"/>
    <n v="4197"/>
    <n v="3147"/>
    <n v="1050"/>
    <n v="0.25017869907076484"/>
    <s v="Cairo"/>
    <x v="3"/>
  </r>
  <r>
    <n v="5"/>
    <d v="2025-08-09T00:00:00"/>
    <x v="4"/>
    <x v="3"/>
    <x v="2"/>
    <n v="3"/>
    <n v="4494"/>
    <n v="2966"/>
    <n v="1528"/>
    <n v="0.34000890075656431"/>
    <s v="Alex"/>
    <x v="4"/>
  </r>
  <r>
    <n v="6"/>
    <d v="2025-03-29T00:00:00"/>
    <x v="5"/>
    <x v="3"/>
    <x v="2"/>
    <n v="8"/>
    <n v="11320"/>
    <n v="7131"/>
    <n v="4189"/>
    <n v="0.3700530035335689"/>
    <s v="Cairo"/>
    <x v="3"/>
  </r>
  <r>
    <n v="7"/>
    <d v="2025-06-22T00:00:00"/>
    <x v="6"/>
    <x v="1"/>
    <x v="1"/>
    <n v="3"/>
    <n v="732"/>
    <n v="490"/>
    <n v="242"/>
    <n v="0.33060109289617484"/>
    <s v="Alex"/>
    <x v="5"/>
  </r>
  <r>
    <n v="8"/>
    <d v="2025-08-19T00:00:00"/>
    <x v="7"/>
    <x v="4"/>
    <x v="1"/>
    <n v="6"/>
    <n v="1698"/>
    <n v="1426"/>
    <n v="272"/>
    <n v="0.16018845700824499"/>
    <s v="Alex"/>
    <x v="4"/>
  </r>
  <r>
    <n v="9"/>
    <d v="2025-05-16T00:00:00"/>
    <x v="8"/>
    <x v="2"/>
    <x v="0"/>
    <n v="8"/>
    <n v="9848"/>
    <n v="7681"/>
    <n v="2167"/>
    <n v="0.22004467912266451"/>
    <s v="Alex"/>
    <x v="2"/>
  </r>
  <r>
    <n v="10"/>
    <d v="2025-07-11T00:00:00"/>
    <x v="9"/>
    <x v="1"/>
    <x v="1"/>
    <n v="9"/>
    <n v="2214"/>
    <n v="1217"/>
    <n v="997"/>
    <n v="0.45031616982836498"/>
    <s v="Cairo"/>
    <x v="1"/>
  </r>
  <r>
    <n v="11"/>
    <d v="2025-02-25T00:00:00"/>
    <x v="10"/>
    <x v="5"/>
    <x v="2"/>
    <n v="5"/>
    <n v="8505"/>
    <n v="4677"/>
    <n v="3828"/>
    <n v="0.45008818342151674"/>
    <s v="Alex"/>
    <x v="0"/>
  </r>
  <r>
    <n v="12"/>
    <d v="2025-05-04T00:00:00"/>
    <x v="11"/>
    <x v="3"/>
    <x v="2"/>
    <n v="3"/>
    <n v="2214"/>
    <n v="1594"/>
    <n v="620"/>
    <n v="0.28003613369467029"/>
    <s v="Giza"/>
    <x v="2"/>
  </r>
  <r>
    <n v="13"/>
    <d v="2025-06-30T00:00:00"/>
    <x v="1"/>
    <x v="5"/>
    <x v="2"/>
    <n v="5"/>
    <n v="3915"/>
    <n v="2544"/>
    <n v="1371"/>
    <n v="0.35019157088122604"/>
    <s v="Alex"/>
    <x v="5"/>
  </r>
  <r>
    <n v="14"/>
    <d v="2025-11-01T00:00:00"/>
    <x v="12"/>
    <x v="1"/>
    <x v="1"/>
    <n v="10"/>
    <n v="17310"/>
    <n v="11770"/>
    <n v="5540"/>
    <n v="0.32004621606008088"/>
    <s v="Cairo"/>
    <x v="6"/>
  </r>
  <r>
    <n v="15"/>
    <d v="2025-12-05T00:00:00"/>
    <x v="13"/>
    <x v="2"/>
    <x v="0"/>
    <n v="5"/>
    <n v="2845"/>
    <n v="1849"/>
    <n v="996"/>
    <n v="0.35008787346221443"/>
    <s v="Alex"/>
    <x v="7"/>
  </r>
  <r>
    <n v="16"/>
    <d v="2025-12-02T00:00:00"/>
    <x v="14"/>
    <x v="3"/>
    <x v="2"/>
    <n v="6"/>
    <n v="6906"/>
    <n v="5317"/>
    <n v="1589"/>
    <n v="0.23008977700550245"/>
    <s v="Giza"/>
    <x v="7"/>
  </r>
  <r>
    <n v="17"/>
    <d v="2025-07-24T00:00:00"/>
    <x v="5"/>
    <x v="6"/>
    <x v="2"/>
    <n v="9"/>
    <n v="8928"/>
    <n v="4999"/>
    <n v="3929"/>
    <n v="0.44007616487455198"/>
    <s v="Alex"/>
    <x v="1"/>
  </r>
  <r>
    <n v="18"/>
    <d v="2025-01-15T00:00:00"/>
    <x v="2"/>
    <x v="3"/>
    <x v="2"/>
    <n v="2"/>
    <n v="596"/>
    <n v="399"/>
    <n v="197"/>
    <n v="0.33053691275167785"/>
    <s v="Giza"/>
    <x v="8"/>
  </r>
  <r>
    <n v="19"/>
    <d v="2025-07-11T00:00:00"/>
    <x v="6"/>
    <x v="6"/>
    <x v="2"/>
    <n v="5"/>
    <n v="1125"/>
    <n v="652"/>
    <n v="473"/>
    <n v="0.42044444444444445"/>
    <s v="Giza"/>
    <x v="1"/>
  </r>
  <r>
    <n v="20"/>
    <d v="2025-02-23T00:00:00"/>
    <x v="15"/>
    <x v="7"/>
    <x v="0"/>
    <n v="8"/>
    <n v="8720"/>
    <n v="5232"/>
    <n v="3488"/>
    <n v="0.4"/>
    <s v="Cairo"/>
    <x v="0"/>
  </r>
  <r>
    <n v="21"/>
    <d v="2025-07-15T00:00:00"/>
    <x v="7"/>
    <x v="5"/>
    <x v="2"/>
    <n v="3"/>
    <n v="2034"/>
    <n v="1586"/>
    <n v="448"/>
    <n v="0.22025565388397247"/>
    <s v="Cairo"/>
    <x v="1"/>
  </r>
  <r>
    <n v="22"/>
    <d v="2025-09-25T00:00:00"/>
    <x v="16"/>
    <x v="0"/>
    <x v="0"/>
    <n v="1"/>
    <n v="1111"/>
    <n v="877"/>
    <n v="234"/>
    <n v="0.21062106210621062"/>
    <s v="Assiut"/>
    <x v="9"/>
  </r>
  <r>
    <n v="23"/>
    <d v="2025-05-25T00:00:00"/>
    <x v="3"/>
    <x v="5"/>
    <x v="2"/>
    <n v="4"/>
    <n v="6988"/>
    <n v="4402"/>
    <n v="2586"/>
    <n v="0.37006296508299941"/>
    <s v="Giza"/>
    <x v="2"/>
  </r>
  <r>
    <n v="24"/>
    <d v="2025-05-06T00:00:00"/>
    <x v="2"/>
    <x v="0"/>
    <x v="0"/>
    <n v="10"/>
    <n v="1860"/>
    <n v="1339"/>
    <n v="521"/>
    <n v="0.28010752688172041"/>
    <s v="Cairo"/>
    <x v="2"/>
  </r>
  <r>
    <n v="25"/>
    <d v="2025-09-16T00:00:00"/>
    <x v="17"/>
    <x v="6"/>
    <x v="2"/>
    <n v="2"/>
    <n v="2254"/>
    <n v="1780"/>
    <n v="474"/>
    <n v="0.21029281277728482"/>
    <s v="Giza"/>
    <x v="9"/>
  </r>
  <r>
    <n v="26"/>
    <d v="2025-02-25T00:00:00"/>
    <x v="4"/>
    <x v="0"/>
    <x v="0"/>
    <n v="7"/>
    <n v="6510"/>
    <n v="4557"/>
    <n v="1953"/>
    <n v="0.3"/>
    <s v="Cairo"/>
    <x v="0"/>
  </r>
  <r>
    <n v="27"/>
    <d v="2025-05-16T00:00:00"/>
    <x v="18"/>
    <x v="2"/>
    <x v="0"/>
    <n v="10"/>
    <n v="18250"/>
    <n v="14052"/>
    <n v="4198"/>
    <n v="0.23002739726027396"/>
    <s v="Cairo"/>
    <x v="2"/>
  </r>
  <r>
    <n v="28"/>
    <d v="2025-10-29T00:00:00"/>
    <x v="19"/>
    <x v="4"/>
    <x v="1"/>
    <n v="9"/>
    <n v="3159"/>
    <n v="2400"/>
    <n v="759"/>
    <n v="0.2402659069325736"/>
    <s v="Giza"/>
    <x v="10"/>
  </r>
  <r>
    <n v="29"/>
    <d v="2025-01-20T00:00:00"/>
    <x v="2"/>
    <x v="6"/>
    <x v="2"/>
    <n v="9"/>
    <n v="7785"/>
    <n v="4671"/>
    <n v="3114"/>
    <n v="0.4"/>
    <s v="Giza"/>
    <x v="8"/>
  </r>
  <r>
    <n v="30"/>
    <d v="2025-01-22T00:00:00"/>
    <x v="13"/>
    <x v="4"/>
    <x v="1"/>
    <n v="8"/>
    <n v="14528"/>
    <n v="9733"/>
    <n v="4795"/>
    <n v="0.33005231277533037"/>
    <s v="Giza"/>
    <x v="8"/>
  </r>
  <r>
    <n v="31"/>
    <d v="2025-09-13T00:00:00"/>
    <x v="20"/>
    <x v="0"/>
    <x v="0"/>
    <n v="9"/>
    <n v="11943"/>
    <n v="6568"/>
    <n v="5375"/>
    <n v="0.45005442518630162"/>
    <s v="Alex"/>
    <x v="9"/>
  </r>
  <r>
    <n v="32"/>
    <d v="2025-03-15T00:00:00"/>
    <x v="21"/>
    <x v="0"/>
    <x v="0"/>
    <n v="7"/>
    <n v="7259"/>
    <n v="4355"/>
    <n v="2904"/>
    <n v="0.40005510400881666"/>
    <s v="Alex"/>
    <x v="3"/>
  </r>
  <r>
    <n v="33"/>
    <d v="2025-06-20T00:00:00"/>
    <x v="14"/>
    <x v="7"/>
    <x v="0"/>
    <n v="3"/>
    <n v="4644"/>
    <n v="3204"/>
    <n v="1440"/>
    <n v="0.31007751937984496"/>
    <s v="Giza"/>
    <x v="5"/>
  </r>
  <r>
    <n v="34"/>
    <d v="2025-06-10T00:00:00"/>
    <x v="22"/>
    <x v="7"/>
    <x v="0"/>
    <n v="1"/>
    <n v="1156"/>
    <n v="890"/>
    <n v="266"/>
    <n v="0.2301038062283737"/>
    <s v="Cairo"/>
    <x v="5"/>
  </r>
  <r>
    <n v="35"/>
    <d v="2025-06-23T00:00:00"/>
    <x v="9"/>
    <x v="4"/>
    <x v="1"/>
    <n v="4"/>
    <n v="5520"/>
    <n v="4636"/>
    <n v="884"/>
    <n v="0.16014492753623188"/>
    <s v="Giza"/>
    <x v="5"/>
  </r>
  <r>
    <n v="36"/>
    <d v="2025-01-17T00:00:00"/>
    <x v="23"/>
    <x v="1"/>
    <x v="1"/>
    <n v="3"/>
    <n v="2055"/>
    <n v="1294"/>
    <n v="761"/>
    <n v="0.37031630170316304"/>
    <s v="Giza"/>
    <x v="8"/>
  </r>
  <r>
    <n v="37"/>
    <d v="2025-06-17T00:00:00"/>
    <x v="24"/>
    <x v="4"/>
    <x v="1"/>
    <n v="4"/>
    <n v="7780"/>
    <n v="6068"/>
    <n v="1712"/>
    <n v="0.22005141388174806"/>
    <s v="Giza"/>
    <x v="5"/>
  </r>
  <r>
    <n v="38"/>
    <d v="2025-01-19T00:00:00"/>
    <x v="13"/>
    <x v="7"/>
    <x v="0"/>
    <n v="8"/>
    <n v="14672"/>
    <n v="11444"/>
    <n v="3228"/>
    <n v="0.22001090512540894"/>
    <s v="Giza"/>
    <x v="8"/>
  </r>
  <r>
    <n v="39"/>
    <d v="2025-09-09T00:00:00"/>
    <x v="14"/>
    <x v="4"/>
    <x v="1"/>
    <n v="6"/>
    <n v="5688"/>
    <n v="3924"/>
    <n v="1764"/>
    <n v="0.310126582278481"/>
    <s v="Giza"/>
    <x v="9"/>
  </r>
  <r>
    <n v="40"/>
    <d v="2025-02-05T00:00:00"/>
    <x v="22"/>
    <x v="7"/>
    <x v="0"/>
    <n v="10"/>
    <n v="1770"/>
    <n v="1469"/>
    <n v="301"/>
    <n v="0.17005649717514124"/>
    <s v="Assiut"/>
    <x v="0"/>
  </r>
  <r>
    <n v="41"/>
    <d v="2025-11-27T00:00:00"/>
    <x v="3"/>
    <x v="6"/>
    <x v="2"/>
    <n v="2"/>
    <n v="2874"/>
    <n v="1781"/>
    <n v="1093"/>
    <n v="0.38030619345859429"/>
    <s v="Alex"/>
    <x v="6"/>
  </r>
  <r>
    <n v="42"/>
    <d v="2025-05-15T00:00:00"/>
    <x v="18"/>
    <x v="0"/>
    <x v="0"/>
    <n v="3"/>
    <n v="5307"/>
    <n v="3237"/>
    <n v="2070"/>
    <n v="0.39005087620124362"/>
    <s v="Cairo"/>
    <x v="2"/>
  </r>
  <r>
    <n v="43"/>
    <d v="2025-02-07T00:00:00"/>
    <x v="25"/>
    <x v="2"/>
    <x v="0"/>
    <n v="5"/>
    <n v="1315"/>
    <n v="1012"/>
    <n v="303"/>
    <n v="0.23041825095057034"/>
    <s v="Cairo"/>
    <x v="0"/>
  </r>
  <r>
    <n v="44"/>
    <d v="2025-08-24T00:00:00"/>
    <x v="20"/>
    <x v="4"/>
    <x v="1"/>
    <n v="8"/>
    <n v="13544"/>
    <n v="8261"/>
    <n v="5283"/>
    <n v="0.39006202008269342"/>
    <s v="Giza"/>
    <x v="4"/>
  </r>
  <r>
    <n v="45"/>
    <d v="2025-12-03T00:00:00"/>
    <x v="26"/>
    <x v="3"/>
    <x v="2"/>
    <n v="10"/>
    <n v="9960"/>
    <n v="5478"/>
    <n v="4482"/>
    <n v="0.45"/>
    <s v="Cairo"/>
    <x v="7"/>
  </r>
  <r>
    <n v="46"/>
    <d v="2025-08-24T00:00:00"/>
    <x v="24"/>
    <x v="1"/>
    <x v="1"/>
    <n v="4"/>
    <n v="1532"/>
    <n v="1103"/>
    <n v="429"/>
    <n v="0.2800261096605744"/>
    <s v="Giza"/>
    <x v="4"/>
  </r>
  <r>
    <n v="47"/>
    <d v="2025-06-15T00:00:00"/>
    <x v="25"/>
    <x v="6"/>
    <x v="2"/>
    <n v="10"/>
    <n v="14070"/>
    <n v="9708"/>
    <n v="4362"/>
    <n v="0.31002132196162047"/>
    <s v="Cairo"/>
    <x v="5"/>
  </r>
  <r>
    <n v="48"/>
    <d v="2025-06-12T00:00:00"/>
    <x v="27"/>
    <x v="4"/>
    <x v="1"/>
    <n v="5"/>
    <n v="4265"/>
    <n v="3369"/>
    <n v="896"/>
    <n v="0.21008206330597889"/>
    <s v="Giza"/>
    <x v="5"/>
  </r>
  <r>
    <n v="49"/>
    <d v="2025-03-18T00:00:00"/>
    <x v="7"/>
    <x v="6"/>
    <x v="2"/>
    <n v="2"/>
    <n v="3836"/>
    <n v="3260"/>
    <n v="576"/>
    <n v="0.15015641293013557"/>
    <s v="Alex"/>
    <x v="3"/>
  </r>
  <r>
    <n v="50"/>
    <d v="2025-03-12T00:00:00"/>
    <x v="3"/>
    <x v="6"/>
    <x v="2"/>
    <n v="9"/>
    <n v="7002"/>
    <n v="4901"/>
    <n v="2101"/>
    <n v="0.30005712653527561"/>
    <s v="Alex"/>
    <x v="3"/>
  </r>
  <r>
    <n v="51"/>
    <d v="2025-05-23T00:00:00"/>
    <x v="11"/>
    <x v="0"/>
    <x v="0"/>
    <n v="3"/>
    <n v="5931"/>
    <n v="4329"/>
    <n v="1602"/>
    <n v="0.27010622154779967"/>
    <s v="Assiut"/>
    <x v="2"/>
  </r>
  <r>
    <n v="52"/>
    <d v="2025-05-04T00:00:00"/>
    <x v="9"/>
    <x v="4"/>
    <x v="1"/>
    <n v="10"/>
    <n v="1630"/>
    <n v="994"/>
    <n v="636"/>
    <n v="0.39018404907975462"/>
    <s v="Assiut"/>
    <x v="2"/>
  </r>
  <r>
    <n v="53"/>
    <d v="2025-12-02T00:00:00"/>
    <x v="9"/>
    <x v="6"/>
    <x v="2"/>
    <n v="1"/>
    <n v="813"/>
    <n v="536"/>
    <n v="277"/>
    <n v="0.34071340713407133"/>
    <s v="Cairo"/>
    <x v="7"/>
  </r>
  <r>
    <n v="54"/>
    <d v="2025-06-14T00:00:00"/>
    <x v="28"/>
    <x v="6"/>
    <x v="2"/>
    <n v="2"/>
    <n v="2808"/>
    <n v="2049"/>
    <n v="759"/>
    <n v="0.27029914529914528"/>
    <s v="Giza"/>
    <x v="5"/>
  </r>
  <r>
    <n v="55"/>
    <d v="2025-08-19T00:00:00"/>
    <x v="29"/>
    <x v="6"/>
    <x v="2"/>
    <n v="1"/>
    <n v="1896"/>
    <n v="1156"/>
    <n v="740"/>
    <n v="0.39029535864978904"/>
    <s v="Alex"/>
    <x v="4"/>
  </r>
  <r>
    <n v="56"/>
    <d v="2025-02-07T00:00:00"/>
    <x v="24"/>
    <x v="7"/>
    <x v="0"/>
    <n v="8"/>
    <n v="6392"/>
    <n v="3771"/>
    <n v="2621"/>
    <n v="0.41004380475594493"/>
    <s v="Assiut"/>
    <x v="0"/>
  </r>
  <r>
    <n v="57"/>
    <d v="2025-08-26T00:00:00"/>
    <x v="26"/>
    <x v="5"/>
    <x v="2"/>
    <n v="5"/>
    <n v="4015"/>
    <n v="3332"/>
    <n v="683"/>
    <n v="0.1701120797011208"/>
    <s v="Alex"/>
    <x v="4"/>
  </r>
  <r>
    <n v="58"/>
    <d v="2025-05-09T00:00:00"/>
    <x v="6"/>
    <x v="2"/>
    <x v="0"/>
    <n v="3"/>
    <n v="699"/>
    <n v="468"/>
    <n v="231"/>
    <n v="0.33047210300429186"/>
    <s v="Giza"/>
    <x v="2"/>
  </r>
  <r>
    <n v="59"/>
    <d v="2025-02-27T00:00:00"/>
    <x v="5"/>
    <x v="5"/>
    <x v="2"/>
    <n v="1"/>
    <n v="519"/>
    <n v="295"/>
    <n v="224"/>
    <n v="0.43159922928709055"/>
    <s v="Giza"/>
    <x v="0"/>
  </r>
  <r>
    <n v="60"/>
    <d v="2025-08-05T00:00:00"/>
    <x v="23"/>
    <x v="6"/>
    <x v="2"/>
    <n v="7"/>
    <n v="9093"/>
    <n v="5273"/>
    <n v="3820"/>
    <n v="0.42010337622346861"/>
    <s v="Alex"/>
    <x v="4"/>
  </r>
  <r>
    <n v="61"/>
    <d v="2025-03-15T00:00:00"/>
    <x v="12"/>
    <x v="2"/>
    <x v="0"/>
    <n v="2"/>
    <n v="3684"/>
    <n v="2394"/>
    <n v="1290"/>
    <n v="0.35016286644951139"/>
    <s v="Cairo"/>
    <x v="3"/>
  </r>
  <r>
    <n v="62"/>
    <d v="2025-06-17T00:00:00"/>
    <x v="30"/>
    <x v="0"/>
    <x v="0"/>
    <n v="6"/>
    <n v="11088"/>
    <n v="7539"/>
    <n v="3549"/>
    <n v="0.32007575757575757"/>
    <s v="Cairo"/>
    <x v="5"/>
  </r>
  <r>
    <n v="63"/>
    <d v="2025-10-21T00:00:00"/>
    <x v="18"/>
    <x v="6"/>
    <x v="2"/>
    <n v="8"/>
    <n v="1200"/>
    <n v="924"/>
    <n v="276"/>
    <n v="0.23"/>
    <s v="Giza"/>
    <x v="10"/>
  </r>
  <r>
    <n v="64"/>
    <d v="2025-08-28T00:00:00"/>
    <x v="17"/>
    <x v="3"/>
    <x v="2"/>
    <n v="10"/>
    <n v="9450"/>
    <n v="6048"/>
    <n v="3402"/>
    <n v="0.36"/>
    <s v="Assiut"/>
    <x v="4"/>
  </r>
  <r>
    <n v="65"/>
    <d v="2025-11-01T00:00:00"/>
    <x v="11"/>
    <x v="6"/>
    <x v="2"/>
    <n v="9"/>
    <n v="10926"/>
    <n v="6009"/>
    <n v="4917"/>
    <n v="0.45002745744096651"/>
    <s v="Alex"/>
    <x v="6"/>
  </r>
  <r>
    <n v="66"/>
    <d v="2025-01-03T00:00:00"/>
    <x v="6"/>
    <x v="7"/>
    <x v="0"/>
    <n v="10"/>
    <n v="14570"/>
    <n v="8887"/>
    <n v="5683"/>
    <n v="0.39004804392587511"/>
    <s v="Alex"/>
    <x v="8"/>
  </r>
  <r>
    <n v="67"/>
    <d v="2025-08-31T00:00:00"/>
    <x v="15"/>
    <x v="0"/>
    <x v="0"/>
    <n v="5"/>
    <n v="1945"/>
    <n v="1536"/>
    <n v="409"/>
    <n v="0.2102827763496144"/>
    <s v="Alex"/>
    <x v="4"/>
  </r>
  <r>
    <n v="68"/>
    <d v="2025-02-28T00:00:00"/>
    <x v="25"/>
    <x v="6"/>
    <x v="2"/>
    <n v="7"/>
    <n v="8309"/>
    <n v="4736"/>
    <n v="3573"/>
    <n v="0.43001564568540135"/>
    <s v="Assiut"/>
    <x v="0"/>
  </r>
  <r>
    <n v="69"/>
    <d v="2025-10-16T00:00:00"/>
    <x v="0"/>
    <x v="7"/>
    <x v="0"/>
    <n v="4"/>
    <n v="4516"/>
    <n v="3522"/>
    <n v="994"/>
    <n v="0.22010628875110719"/>
    <s v="Assiut"/>
    <x v="10"/>
  </r>
  <r>
    <n v="70"/>
    <d v="2025-12-26T00:00:00"/>
    <x v="5"/>
    <x v="5"/>
    <x v="2"/>
    <n v="4"/>
    <n v="584"/>
    <n v="490"/>
    <n v="94"/>
    <n v="0.16095890410958905"/>
    <s v="Giza"/>
    <x v="7"/>
  </r>
  <r>
    <n v="71"/>
    <d v="2025-06-09T00:00:00"/>
    <x v="28"/>
    <x v="3"/>
    <x v="2"/>
    <n v="9"/>
    <n v="5121"/>
    <n v="2970"/>
    <n v="2151"/>
    <n v="0.42003514938488579"/>
    <s v="Assiut"/>
    <x v="5"/>
  </r>
  <r>
    <n v="72"/>
    <d v="2025-10-26T00:00:00"/>
    <x v="31"/>
    <x v="7"/>
    <x v="0"/>
    <n v="3"/>
    <n v="5322"/>
    <n v="3193"/>
    <n v="2129"/>
    <n v="0.40003757985719657"/>
    <s v="Cairo"/>
    <x v="10"/>
  </r>
  <r>
    <n v="73"/>
    <d v="2025-08-17T00:00:00"/>
    <x v="32"/>
    <x v="1"/>
    <x v="1"/>
    <n v="2"/>
    <n v="2670"/>
    <n v="2162"/>
    <n v="508"/>
    <n v="0.1902621722846442"/>
    <s v="Cairo"/>
    <x v="4"/>
  </r>
  <r>
    <n v="74"/>
    <d v="2025-02-20T00:00:00"/>
    <x v="9"/>
    <x v="3"/>
    <x v="2"/>
    <n v="2"/>
    <n v="1626"/>
    <n v="1105"/>
    <n v="521"/>
    <n v="0.32041820418204181"/>
    <s v="Alex"/>
    <x v="0"/>
  </r>
  <r>
    <n v="75"/>
    <d v="2025-04-15T00:00:00"/>
    <x v="11"/>
    <x v="6"/>
    <x v="2"/>
    <n v="4"/>
    <n v="2228"/>
    <n v="1336"/>
    <n v="892"/>
    <n v="0.40035906642728902"/>
    <s v="Cairo"/>
    <x v="11"/>
  </r>
  <r>
    <n v="76"/>
    <d v="2025-04-11T00:00:00"/>
    <x v="24"/>
    <x v="6"/>
    <x v="2"/>
    <n v="8"/>
    <n v="13176"/>
    <n v="10277"/>
    <n v="2899"/>
    <n v="0.22002125075895568"/>
    <s v="Assiut"/>
    <x v="11"/>
  </r>
  <r>
    <n v="77"/>
    <d v="2025-11-29T00:00:00"/>
    <x v="32"/>
    <x v="4"/>
    <x v="1"/>
    <n v="2"/>
    <n v="964"/>
    <n v="713"/>
    <n v="251"/>
    <n v="0.26037344398340251"/>
    <s v="Cairo"/>
    <x v="6"/>
  </r>
  <r>
    <n v="78"/>
    <d v="2025-01-27T00:00:00"/>
    <x v="20"/>
    <x v="7"/>
    <x v="0"/>
    <n v="5"/>
    <n v="9005"/>
    <n v="6213"/>
    <n v="2792"/>
    <n v="0.31004997223764574"/>
    <s v="Cairo"/>
    <x v="8"/>
  </r>
  <r>
    <n v="79"/>
    <d v="2025-11-27T00:00:00"/>
    <x v="23"/>
    <x v="2"/>
    <x v="0"/>
    <n v="7"/>
    <n v="7910"/>
    <n v="5220"/>
    <n v="2690"/>
    <n v="0.34007585335018964"/>
    <s v="Alex"/>
    <x v="6"/>
  </r>
  <r>
    <n v="80"/>
    <d v="2025-04-03T00:00:00"/>
    <x v="2"/>
    <x v="1"/>
    <x v="1"/>
    <n v="4"/>
    <n v="5716"/>
    <n v="3658"/>
    <n v="2058"/>
    <n v="0.36004198740377885"/>
    <s v="Giza"/>
    <x v="11"/>
  </r>
  <r>
    <n v="81"/>
    <d v="2025-02-10T00:00:00"/>
    <x v="32"/>
    <x v="4"/>
    <x v="1"/>
    <n v="3"/>
    <n v="1824"/>
    <n v="1222"/>
    <n v="602"/>
    <n v="0.33004385964912281"/>
    <s v="Giza"/>
    <x v="0"/>
  </r>
  <r>
    <n v="82"/>
    <d v="2025-02-02T00:00:00"/>
    <x v="33"/>
    <x v="3"/>
    <x v="2"/>
    <n v="7"/>
    <n v="6258"/>
    <n v="5319"/>
    <n v="939"/>
    <n v="0.15004793863854266"/>
    <s v="Giza"/>
    <x v="0"/>
  </r>
  <r>
    <n v="83"/>
    <d v="2025-12-25T00:00:00"/>
    <x v="14"/>
    <x v="6"/>
    <x v="2"/>
    <n v="6"/>
    <n v="1164"/>
    <n v="721"/>
    <n v="443"/>
    <n v="0.38058419243986252"/>
    <s v="Alex"/>
    <x v="7"/>
  </r>
  <r>
    <n v="84"/>
    <d v="2025-04-16T00:00:00"/>
    <x v="3"/>
    <x v="5"/>
    <x v="2"/>
    <n v="4"/>
    <n v="2416"/>
    <n v="1667"/>
    <n v="749"/>
    <n v="0.31001655629139074"/>
    <s v="Cairo"/>
    <x v="11"/>
  </r>
  <r>
    <n v="85"/>
    <d v="2025-02-02T00:00:00"/>
    <x v="18"/>
    <x v="7"/>
    <x v="0"/>
    <n v="4"/>
    <n v="6124"/>
    <n v="4286"/>
    <n v="1838"/>
    <n v="0.30013063357282821"/>
    <s v="Giza"/>
    <x v="0"/>
  </r>
  <r>
    <n v="86"/>
    <d v="2025-10-09T00:00:00"/>
    <x v="13"/>
    <x v="4"/>
    <x v="1"/>
    <n v="8"/>
    <n v="8792"/>
    <n v="6154"/>
    <n v="2638"/>
    <n v="0.3000454959053685"/>
    <s v="Assiut"/>
    <x v="10"/>
  </r>
  <r>
    <n v="87"/>
    <d v="2025-12-31T00:00:00"/>
    <x v="3"/>
    <x v="5"/>
    <x v="2"/>
    <n v="2"/>
    <n v="1392"/>
    <n v="1002"/>
    <n v="390"/>
    <n v="0.28017241379310343"/>
    <s v="Giza"/>
    <x v="7"/>
  </r>
  <r>
    <n v="88"/>
    <d v="2025-10-04T00:00:00"/>
    <x v="33"/>
    <x v="4"/>
    <x v="1"/>
    <n v="3"/>
    <n v="4419"/>
    <n v="2872"/>
    <n v="1547"/>
    <n v="0.35007920343969223"/>
    <s v="Alex"/>
    <x v="10"/>
  </r>
  <r>
    <n v="89"/>
    <d v="2025-05-23T00:00:00"/>
    <x v="19"/>
    <x v="4"/>
    <x v="1"/>
    <n v="10"/>
    <n v="19240"/>
    <n v="13468"/>
    <n v="5772"/>
    <n v="0.3"/>
    <s v="Cairo"/>
    <x v="2"/>
  </r>
  <r>
    <n v="90"/>
    <d v="2025-08-28T00:00:00"/>
    <x v="33"/>
    <x v="0"/>
    <x v="0"/>
    <n v="2"/>
    <n v="706"/>
    <n v="465"/>
    <n v="241"/>
    <n v="0.34135977337110479"/>
    <s v="Cairo"/>
    <x v="4"/>
  </r>
  <r>
    <n v="91"/>
    <d v="2025-08-02T00:00:00"/>
    <x v="20"/>
    <x v="0"/>
    <x v="0"/>
    <n v="8"/>
    <n v="13992"/>
    <n v="8675"/>
    <n v="5317"/>
    <n v="0.38000285877644369"/>
    <s v="Cairo"/>
    <x v="4"/>
  </r>
  <r>
    <n v="92"/>
    <d v="2025-03-14T00:00:00"/>
    <x v="3"/>
    <x v="4"/>
    <x v="1"/>
    <n v="8"/>
    <n v="10704"/>
    <n v="6636"/>
    <n v="4068"/>
    <n v="0.38004484304932734"/>
    <s v="Cairo"/>
    <x v="3"/>
  </r>
  <r>
    <n v="93"/>
    <d v="2025-01-20T00:00:00"/>
    <x v="3"/>
    <x v="3"/>
    <x v="2"/>
    <n v="3"/>
    <n v="1050"/>
    <n v="661"/>
    <n v="389"/>
    <n v="0.37047619047619046"/>
    <s v="Assiut"/>
    <x v="8"/>
  </r>
  <r>
    <n v="94"/>
    <d v="2025-01-04T00:00:00"/>
    <x v="12"/>
    <x v="1"/>
    <x v="1"/>
    <n v="7"/>
    <n v="10374"/>
    <n v="6639"/>
    <n v="3735"/>
    <n v="0.3600347021399653"/>
    <s v="Assiut"/>
    <x v="8"/>
  </r>
  <r>
    <n v="95"/>
    <d v="2025-03-15T00:00:00"/>
    <x v="34"/>
    <x v="2"/>
    <x v="0"/>
    <n v="7"/>
    <n v="5593"/>
    <n v="3076"/>
    <n v="2517"/>
    <n v="0.45002681923833365"/>
    <s v="Cairo"/>
    <x v="3"/>
  </r>
  <r>
    <n v="96"/>
    <d v="2025-11-22T00:00:00"/>
    <x v="27"/>
    <x v="2"/>
    <x v="0"/>
    <n v="1"/>
    <n v="350"/>
    <n v="273"/>
    <n v="77"/>
    <n v="0.22"/>
    <s v="Assiut"/>
    <x v="6"/>
  </r>
  <r>
    <n v="97"/>
    <d v="2025-02-03T00:00:00"/>
    <x v="28"/>
    <x v="7"/>
    <x v="0"/>
    <n v="10"/>
    <n v="15910"/>
    <n v="12568"/>
    <n v="3342"/>
    <n v="0.21005656819610308"/>
    <s v="Alex"/>
    <x v="0"/>
  </r>
  <r>
    <n v="98"/>
    <d v="2025-01-27T00:00:00"/>
    <x v="33"/>
    <x v="4"/>
    <x v="1"/>
    <n v="1"/>
    <n v="918"/>
    <n v="679"/>
    <n v="239"/>
    <n v="0.26034858387799564"/>
    <s v="Giza"/>
    <x v="8"/>
  </r>
  <r>
    <n v="99"/>
    <d v="2025-06-07T00:00:00"/>
    <x v="35"/>
    <x v="4"/>
    <x v="1"/>
    <n v="1"/>
    <n v="1186"/>
    <n v="948"/>
    <n v="238"/>
    <n v="0.20067453625632378"/>
    <s v="Alex"/>
    <x v="5"/>
  </r>
  <r>
    <n v="100"/>
    <d v="2025-04-21T00:00:00"/>
    <x v="11"/>
    <x v="0"/>
    <x v="0"/>
    <n v="3"/>
    <n v="4590"/>
    <n v="3396"/>
    <n v="1194"/>
    <n v="0.26013071895424839"/>
    <s v="Cairo"/>
    <x v="11"/>
  </r>
  <r>
    <n v="101"/>
    <d v="2025-09-12T00:00:00"/>
    <x v="4"/>
    <x v="6"/>
    <x v="2"/>
    <n v="7"/>
    <n v="1911"/>
    <n v="1471"/>
    <n v="440"/>
    <n v="0.23024594453165881"/>
    <s v="Alex"/>
    <x v="9"/>
  </r>
  <r>
    <n v="102"/>
    <d v="2025-03-18T00:00:00"/>
    <x v="1"/>
    <x v="2"/>
    <x v="0"/>
    <n v="10"/>
    <n v="2400"/>
    <n v="1416"/>
    <n v="984"/>
    <n v="0.41"/>
    <s v="Giza"/>
    <x v="3"/>
  </r>
  <r>
    <n v="103"/>
    <d v="2025-08-15T00:00:00"/>
    <x v="15"/>
    <x v="6"/>
    <x v="2"/>
    <n v="4"/>
    <n v="7468"/>
    <n v="6347"/>
    <n v="1121"/>
    <n v="0.15010712372790574"/>
    <s v="Cairo"/>
    <x v="4"/>
  </r>
  <r>
    <n v="104"/>
    <d v="2025-07-12T00:00:00"/>
    <x v="36"/>
    <x v="6"/>
    <x v="2"/>
    <n v="10"/>
    <n v="17790"/>
    <n v="10851"/>
    <n v="6939"/>
    <n v="0.39005059021922428"/>
    <s v="Alex"/>
    <x v="1"/>
  </r>
  <r>
    <n v="105"/>
    <d v="2025-12-19T00:00:00"/>
    <x v="8"/>
    <x v="3"/>
    <x v="2"/>
    <n v="3"/>
    <n v="1338"/>
    <n v="976"/>
    <n v="362"/>
    <n v="0.27055306427503739"/>
    <s v="Cairo"/>
    <x v="7"/>
  </r>
  <r>
    <n v="106"/>
    <d v="2025-07-26T00:00:00"/>
    <x v="3"/>
    <x v="4"/>
    <x v="1"/>
    <n v="10"/>
    <n v="15740"/>
    <n v="10860"/>
    <n v="4880"/>
    <n v="0.31003811944091486"/>
    <s v="Cairo"/>
    <x v="1"/>
  </r>
  <r>
    <n v="107"/>
    <d v="2025-12-15T00:00:00"/>
    <x v="19"/>
    <x v="7"/>
    <x v="0"/>
    <n v="6"/>
    <n v="8706"/>
    <n v="6355"/>
    <n v="2351"/>
    <n v="0.27004364805881004"/>
    <s v="Giza"/>
    <x v="7"/>
  </r>
  <r>
    <n v="108"/>
    <d v="2025-06-21T00:00:00"/>
    <x v="27"/>
    <x v="1"/>
    <x v="1"/>
    <n v="6"/>
    <n v="4506"/>
    <n v="3649"/>
    <n v="857"/>
    <n v="0.19019085663559698"/>
    <s v="Giza"/>
    <x v="5"/>
  </r>
  <r>
    <n v="109"/>
    <d v="2025-12-29T00:00:00"/>
    <x v="3"/>
    <x v="6"/>
    <x v="2"/>
    <n v="6"/>
    <n v="8448"/>
    <n v="5491"/>
    <n v="2957"/>
    <n v="0.35002367424242425"/>
    <s v="Cairo"/>
    <x v="7"/>
  </r>
  <r>
    <n v="110"/>
    <d v="2025-10-01T00:00:00"/>
    <x v="26"/>
    <x v="2"/>
    <x v="0"/>
    <n v="8"/>
    <n v="15056"/>
    <n v="10990"/>
    <n v="4066"/>
    <n v="0.27005844845908605"/>
    <s v="Giza"/>
    <x v="10"/>
  </r>
  <r>
    <n v="111"/>
    <d v="2025-07-10T00:00:00"/>
    <x v="30"/>
    <x v="6"/>
    <x v="2"/>
    <n v="10"/>
    <n v="3610"/>
    <n v="2129"/>
    <n v="1481"/>
    <n v="0.41024930747922439"/>
    <s v="Assiut"/>
    <x v="1"/>
  </r>
  <r>
    <n v="112"/>
    <d v="2025-03-25T00:00:00"/>
    <x v="29"/>
    <x v="2"/>
    <x v="0"/>
    <n v="9"/>
    <n v="9522"/>
    <n v="5998"/>
    <n v="3524"/>
    <n v="0.37009031716026047"/>
    <s v="Assiut"/>
    <x v="3"/>
  </r>
  <r>
    <n v="113"/>
    <d v="2025-11-24T00:00:00"/>
    <x v="3"/>
    <x v="1"/>
    <x v="1"/>
    <n v="4"/>
    <n v="1948"/>
    <n v="1422"/>
    <n v="526"/>
    <n v="0.27002053388090347"/>
    <s v="Alex"/>
    <x v="6"/>
  </r>
  <r>
    <n v="114"/>
    <d v="2025-10-20T00:00:00"/>
    <x v="1"/>
    <x v="6"/>
    <x v="2"/>
    <n v="1"/>
    <n v="532"/>
    <n v="420"/>
    <n v="112"/>
    <n v="0.21052631578947367"/>
    <s v="Giza"/>
    <x v="10"/>
  </r>
  <r>
    <n v="115"/>
    <d v="2025-06-20T00:00:00"/>
    <x v="28"/>
    <x v="1"/>
    <x v="1"/>
    <n v="6"/>
    <n v="8640"/>
    <n v="6998"/>
    <n v="1642"/>
    <n v="0.1900462962962963"/>
    <s v="Alex"/>
    <x v="5"/>
  </r>
  <r>
    <n v="116"/>
    <d v="2025-01-01T00:00:00"/>
    <x v="1"/>
    <x v="6"/>
    <x v="2"/>
    <n v="9"/>
    <n v="8028"/>
    <n v="6663"/>
    <n v="1365"/>
    <n v="0.17002989536621824"/>
    <s v="Assiut"/>
    <x v="8"/>
  </r>
  <r>
    <n v="117"/>
    <d v="2025-05-26T00:00:00"/>
    <x v="30"/>
    <x v="6"/>
    <x v="2"/>
    <n v="1"/>
    <n v="408"/>
    <n v="338"/>
    <n v="70"/>
    <n v="0.17156862745098039"/>
    <s v="Alex"/>
    <x v="2"/>
  </r>
  <r>
    <n v="118"/>
    <d v="2025-04-17T00:00:00"/>
    <x v="32"/>
    <x v="6"/>
    <x v="2"/>
    <n v="2"/>
    <n v="492"/>
    <n v="369"/>
    <n v="123"/>
    <n v="0.25"/>
    <s v="Alex"/>
    <x v="11"/>
  </r>
  <r>
    <n v="119"/>
    <d v="2025-07-20T00:00:00"/>
    <x v="7"/>
    <x v="2"/>
    <x v="0"/>
    <n v="3"/>
    <n v="5091"/>
    <n v="4123"/>
    <n v="968"/>
    <n v="0.19013946179532509"/>
    <s v="Assiut"/>
    <x v="1"/>
  </r>
  <r>
    <n v="120"/>
    <d v="2025-12-15T00:00:00"/>
    <x v="15"/>
    <x v="7"/>
    <x v="0"/>
    <n v="8"/>
    <n v="13144"/>
    <n v="11172"/>
    <n v="1972"/>
    <n v="0.15003043213633596"/>
    <s v="Alex"/>
    <x v="7"/>
  </r>
  <r>
    <n v="121"/>
    <d v="2025-11-01T00:00:00"/>
    <x v="37"/>
    <x v="2"/>
    <x v="0"/>
    <n v="4"/>
    <n v="3560"/>
    <n v="2741"/>
    <n v="819"/>
    <n v="0.23005617977528089"/>
    <s v="Alex"/>
    <x v="6"/>
  </r>
  <r>
    <n v="122"/>
    <d v="2025-09-22T00:00:00"/>
    <x v="29"/>
    <x v="4"/>
    <x v="1"/>
    <n v="4"/>
    <n v="4956"/>
    <n v="3221"/>
    <n v="1735"/>
    <n v="0.35008071025020177"/>
    <s v="Giza"/>
    <x v="9"/>
  </r>
  <r>
    <n v="123"/>
    <d v="2025-07-13T00:00:00"/>
    <x v="30"/>
    <x v="7"/>
    <x v="0"/>
    <n v="4"/>
    <n v="1652"/>
    <n v="1024"/>
    <n v="628"/>
    <n v="0.38014527845036322"/>
    <s v="Cairo"/>
    <x v="1"/>
  </r>
  <r>
    <n v="124"/>
    <d v="2025-10-29T00:00:00"/>
    <x v="31"/>
    <x v="5"/>
    <x v="2"/>
    <n v="8"/>
    <n v="6168"/>
    <n v="4255"/>
    <n v="1913"/>
    <n v="0.31014915693904022"/>
    <s v="Giza"/>
    <x v="10"/>
  </r>
  <r>
    <n v="125"/>
    <d v="2025-04-25T00:00:00"/>
    <x v="38"/>
    <x v="4"/>
    <x v="1"/>
    <n v="2"/>
    <n v="2966"/>
    <n v="1838"/>
    <n v="1128"/>
    <n v="0.38031018206338502"/>
    <s v="Alex"/>
    <x v="11"/>
  </r>
  <r>
    <n v="126"/>
    <d v="2025-09-27T00:00:00"/>
    <x v="14"/>
    <x v="3"/>
    <x v="2"/>
    <n v="3"/>
    <n v="2019"/>
    <n v="1271"/>
    <n v="748"/>
    <n v="0.37048043585933632"/>
    <s v="Cairo"/>
    <x v="9"/>
  </r>
  <r>
    <n v="127"/>
    <d v="2025-03-07T00:00:00"/>
    <x v="39"/>
    <x v="1"/>
    <x v="1"/>
    <n v="10"/>
    <n v="12890"/>
    <n v="9667"/>
    <n v="3223"/>
    <n v="0.2500387897595035"/>
    <s v="Alex"/>
    <x v="3"/>
  </r>
  <r>
    <n v="128"/>
    <d v="2025-04-18T00:00:00"/>
    <x v="16"/>
    <x v="7"/>
    <x v="0"/>
    <n v="9"/>
    <n v="1629"/>
    <n v="1238"/>
    <n v="391"/>
    <n v="0.24002455494168201"/>
    <s v="Giza"/>
    <x v="11"/>
  </r>
  <r>
    <n v="129"/>
    <d v="2025-11-07T00:00:00"/>
    <x v="10"/>
    <x v="4"/>
    <x v="1"/>
    <n v="8"/>
    <n v="14040"/>
    <n v="8985"/>
    <n v="5055"/>
    <n v="0.36004273504273504"/>
    <s v="Alex"/>
    <x v="6"/>
  </r>
  <r>
    <n v="130"/>
    <d v="2025-06-26T00:00:00"/>
    <x v="7"/>
    <x v="2"/>
    <x v="0"/>
    <n v="7"/>
    <n v="6160"/>
    <n v="3942"/>
    <n v="2218"/>
    <n v="0.36006493506493509"/>
    <s v="Giza"/>
    <x v="5"/>
  </r>
  <r>
    <n v="131"/>
    <d v="2025-07-12T00:00:00"/>
    <x v="32"/>
    <x v="5"/>
    <x v="2"/>
    <n v="2"/>
    <n v="3652"/>
    <n v="2227"/>
    <n v="1425"/>
    <n v="0.39019715224534501"/>
    <s v="Assiut"/>
    <x v="1"/>
  </r>
  <r>
    <n v="132"/>
    <d v="2025-07-08T00:00:00"/>
    <x v="4"/>
    <x v="7"/>
    <x v="0"/>
    <n v="8"/>
    <n v="2168"/>
    <n v="1192"/>
    <n v="976"/>
    <n v="0.45018450184501846"/>
    <s v="Assiut"/>
    <x v="1"/>
  </r>
  <r>
    <n v="133"/>
    <d v="2025-05-13T00:00:00"/>
    <x v="21"/>
    <x v="7"/>
    <x v="0"/>
    <n v="3"/>
    <n v="1926"/>
    <n v="1174"/>
    <n v="752"/>
    <n v="0.39044652128764279"/>
    <s v="Cairo"/>
    <x v="2"/>
  </r>
  <r>
    <n v="134"/>
    <d v="2025-07-01T00:00:00"/>
    <x v="27"/>
    <x v="4"/>
    <x v="1"/>
    <n v="7"/>
    <n v="13930"/>
    <n v="7800"/>
    <n v="6130"/>
    <n v="0.44005743000717873"/>
    <s v="Alex"/>
    <x v="1"/>
  </r>
  <r>
    <n v="135"/>
    <d v="2025-04-12T00:00:00"/>
    <x v="20"/>
    <x v="3"/>
    <x v="2"/>
    <n v="1"/>
    <n v="725"/>
    <n v="398"/>
    <n v="327"/>
    <n v="0.45103448275862068"/>
    <s v="Giza"/>
    <x v="11"/>
  </r>
  <r>
    <n v="136"/>
    <d v="2025-03-01T00:00:00"/>
    <x v="35"/>
    <x v="0"/>
    <x v="0"/>
    <n v="10"/>
    <n v="6000"/>
    <n v="4560"/>
    <n v="1440"/>
    <n v="0.24"/>
    <s v="Alex"/>
    <x v="3"/>
  </r>
  <r>
    <n v="137"/>
    <d v="2025-11-08T00:00:00"/>
    <x v="19"/>
    <x v="5"/>
    <x v="2"/>
    <n v="1"/>
    <n v="1376"/>
    <n v="908"/>
    <n v="468"/>
    <n v="0.34011627906976744"/>
    <s v="Alex"/>
    <x v="6"/>
  </r>
  <r>
    <n v="138"/>
    <d v="2025-09-30T00:00:00"/>
    <x v="32"/>
    <x v="5"/>
    <x v="2"/>
    <n v="8"/>
    <n v="11008"/>
    <n v="8916"/>
    <n v="2092"/>
    <n v="0.1900436046511628"/>
    <s v="Assiut"/>
    <x v="9"/>
  </r>
  <r>
    <n v="139"/>
    <d v="2025-12-06T00:00:00"/>
    <x v="26"/>
    <x v="5"/>
    <x v="2"/>
    <n v="1"/>
    <n v="1968"/>
    <n v="1298"/>
    <n v="670"/>
    <n v="0.34044715447154472"/>
    <s v="Alex"/>
    <x v="7"/>
  </r>
  <r>
    <n v="140"/>
    <d v="2025-07-15T00:00:00"/>
    <x v="32"/>
    <x v="1"/>
    <x v="1"/>
    <n v="7"/>
    <n v="805"/>
    <n v="450"/>
    <n v="355"/>
    <n v="0.44099378881987578"/>
    <s v="Assiut"/>
    <x v="1"/>
  </r>
  <r>
    <n v="141"/>
    <d v="2025-11-07T00:00:00"/>
    <x v="8"/>
    <x v="1"/>
    <x v="1"/>
    <n v="7"/>
    <n v="2205"/>
    <n v="1234"/>
    <n v="971"/>
    <n v="0.4403628117913832"/>
    <s v="Cairo"/>
    <x v="6"/>
  </r>
  <r>
    <n v="142"/>
    <d v="2025-02-24T00:00:00"/>
    <x v="15"/>
    <x v="4"/>
    <x v="1"/>
    <n v="9"/>
    <n v="9576"/>
    <n v="6511"/>
    <n v="3065"/>
    <n v="0.32007101086048456"/>
    <s v="Assiut"/>
    <x v="0"/>
  </r>
  <r>
    <n v="143"/>
    <d v="2025-08-27T00:00:00"/>
    <x v="29"/>
    <x v="1"/>
    <x v="1"/>
    <n v="5"/>
    <n v="1540"/>
    <n v="908"/>
    <n v="632"/>
    <n v="0.41038961038961042"/>
    <s v="Giza"/>
    <x v="4"/>
  </r>
  <r>
    <n v="144"/>
    <d v="2025-11-17T00:00:00"/>
    <x v="3"/>
    <x v="4"/>
    <x v="1"/>
    <n v="10"/>
    <n v="7110"/>
    <n v="4052"/>
    <n v="3058"/>
    <n v="0.43009845288326298"/>
    <s v="Assiut"/>
    <x v="6"/>
  </r>
  <r>
    <n v="145"/>
    <d v="2025-02-16T00:00:00"/>
    <x v="39"/>
    <x v="7"/>
    <x v="0"/>
    <n v="10"/>
    <n v="12560"/>
    <n v="7536"/>
    <n v="5024"/>
    <n v="0.4"/>
    <s v="Cairo"/>
    <x v="0"/>
  </r>
  <r>
    <n v="146"/>
    <d v="2025-01-31T00:00:00"/>
    <x v="16"/>
    <x v="1"/>
    <x v="1"/>
    <n v="5"/>
    <n v="7920"/>
    <n v="6652"/>
    <n v="1268"/>
    <n v="0.1601010101010101"/>
    <s v="Giza"/>
    <x v="8"/>
  </r>
  <r>
    <n v="147"/>
    <d v="2025-12-11T00:00:00"/>
    <x v="36"/>
    <x v="1"/>
    <x v="1"/>
    <n v="3"/>
    <n v="4749"/>
    <n v="3419"/>
    <n v="1330"/>
    <n v="0.28005895978100653"/>
    <s v="Assiut"/>
    <x v="7"/>
  </r>
  <r>
    <n v="148"/>
    <d v="2025-10-18T00:00:00"/>
    <x v="3"/>
    <x v="3"/>
    <x v="2"/>
    <n v="1"/>
    <n v="669"/>
    <n v="508"/>
    <n v="161"/>
    <n v="0.24065769805680121"/>
    <s v="Assiut"/>
    <x v="10"/>
  </r>
  <r>
    <n v="149"/>
    <d v="2025-06-15T00:00:00"/>
    <x v="7"/>
    <x v="7"/>
    <x v="0"/>
    <n v="9"/>
    <n v="4806"/>
    <n v="2787"/>
    <n v="2019"/>
    <n v="0.42009987515605496"/>
    <s v="Giza"/>
    <x v="5"/>
  </r>
  <r>
    <n v="150"/>
    <d v="2025-04-01T00:00:00"/>
    <x v="28"/>
    <x v="6"/>
    <x v="2"/>
    <n v="1"/>
    <n v="897"/>
    <n v="511"/>
    <n v="386"/>
    <n v="0.43032329988851725"/>
    <s v="Assiut"/>
    <x v="11"/>
  </r>
  <r>
    <n v="151"/>
    <d v="2025-07-26T00:00:00"/>
    <x v="34"/>
    <x v="1"/>
    <x v="1"/>
    <n v="8"/>
    <n v="2224"/>
    <n v="1734"/>
    <n v="490"/>
    <n v="0.22032374100719423"/>
    <s v="Giza"/>
    <x v="1"/>
  </r>
  <r>
    <n v="152"/>
    <d v="2025-09-11T00:00:00"/>
    <x v="7"/>
    <x v="2"/>
    <x v="0"/>
    <n v="10"/>
    <n v="6580"/>
    <n v="4671"/>
    <n v="1909"/>
    <n v="0.29012158054711246"/>
    <s v="Alex"/>
    <x v="9"/>
  </r>
  <r>
    <n v="153"/>
    <d v="2025-12-18T00:00:00"/>
    <x v="25"/>
    <x v="0"/>
    <x v="0"/>
    <n v="6"/>
    <n v="2622"/>
    <n v="1861"/>
    <n v="761"/>
    <n v="0.29023646071700993"/>
    <s v="Alex"/>
    <x v="7"/>
  </r>
  <r>
    <n v="154"/>
    <d v="2025-09-13T00:00:00"/>
    <x v="20"/>
    <x v="1"/>
    <x v="1"/>
    <n v="5"/>
    <n v="9695"/>
    <n v="7174"/>
    <n v="2521"/>
    <n v="0.26003094378545644"/>
    <s v="Assiut"/>
    <x v="9"/>
  </r>
  <r>
    <n v="155"/>
    <d v="2025-12-23T00:00:00"/>
    <x v="30"/>
    <x v="2"/>
    <x v="0"/>
    <n v="4"/>
    <n v="4580"/>
    <n v="2977"/>
    <n v="1603"/>
    <n v="0.35"/>
    <s v="Giza"/>
    <x v="7"/>
  </r>
  <r>
    <n v="156"/>
    <d v="2025-03-03T00:00:00"/>
    <x v="9"/>
    <x v="1"/>
    <x v="1"/>
    <n v="10"/>
    <n v="17020"/>
    <n v="12765"/>
    <n v="4255"/>
    <n v="0.25"/>
    <s v="Alex"/>
    <x v="3"/>
  </r>
  <r>
    <n v="157"/>
    <d v="2025-09-29T00:00:00"/>
    <x v="38"/>
    <x v="0"/>
    <x v="0"/>
    <n v="6"/>
    <n v="1692"/>
    <n v="1285"/>
    <n v="407"/>
    <n v="0.24054373522458627"/>
    <s v="Alex"/>
    <x v="9"/>
  </r>
  <r>
    <n v="158"/>
    <d v="2025-10-20T00:00:00"/>
    <x v="23"/>
    <x v="0"/>
    <x v="0"/>
    <n v="10"/>
    <n v="15090"/>
    <n v="11468"/>
    <n v="3622"/>
    <n v="0.24002650762094102"/>
    <s v="Cairo"/>
    <x v="10"/>
  </r>
  <r>
    <n v="159"/>
    <d v="2025-01-12T00:00:00"/>
    <x v="14"/>
    <x v="3"/>
    <x v="2"/>
    <n v="3"/>
    <n v="2325"/>
    <n v="1976"/>
    <n v="349"/>
    <n v="0.15010752688172044"/>
    <s v="Assiut"/>
    <x v="8"/>
  </r>
  <r>
    <n v="160"/>
    <d v="2025-03-02T00:00:00"/>
    <x v="19"/>
    <x v="7"/>
    <x v="0"/>
    <n v="1"/>
    <n v="1949"/>
    <n v="1422"/>
    <n v="527"/>
    <n v="0.27039507439712673"/>
    <s v="Assiut"/>
    <x v="3"/>
  </r>
  <r>
    <n v="161"/>
    <d v="2025-07-16T00:00:00"/>
    <x v="29"/>
    <x v="5"/>
    <x v="2"/>
    <n v="7"/>
    <n v="4228"/>
    <n v="2367"/>
    <n v="1861"/>
    <n v="0.44016083254493849"/>
    <s v="Giza"/>
    <x v="1"/>
  </r>
  <r>
    <n v="162"/>
    <d v="2025-08-23T00:00:00"/>
    <x v="28"/>
    <x v="7"/>
    <x v="0"/>
    <n v="8"/>
    <n v="6968"/>
    <n v="4250"/>
    <n v="2718"/>
    <n v="0.39006888633754305"/>
    <s v="Cairo"/>
    <x v="4"/>
  </r>
  <r>
    <n v="163"/>
    <d v="2025-11-24T00:00:00"/>
    <x v="15"/>
    <x v="3"/>
    <x v="2"/>
    <n v="10"/>
    <n v="18240"/>
    <n v="11673"/>
    <n v="6567"/>
    <n v="0.36003289473684208"/>
    <s v="Giza"/>
    <x v="6"/>
  </r>
  <r>
    <n v="164"/>
    <d v="2025-06-30T00:00:00"/>
    <x v="15"/>
    <x v="4"/>
    <x v="1"/>
    <n v="10"/>
    <n v="12420"/>
    <n v="9811"/>
    <n v="2609"/>
    <n v="0.21006441223832528"/>
    <s v="Cairo"/>
    <x v="5"/>
  </r>
  <r>
    <n v="165"/>
    <d v="2025-04-07T00:00:00"/>
    <x v="24"/>
    <x v="0"/>
    <x v="0"/>
    <n v="3"/>
    <n v="312"/>
    <n v="255"/>
    <n v="57"/>
    <n v="0.18269230769230768"/>
    <s v="Cairo"/>
    <x v="11"/>
  </r>
  <r>
    <n v="166"/>
    <d v="2025-10-29T00:00:00"/>
    <x v="16"/>
    <x v="7"/>
    <x v="0"/>
    <n v="3"/>
    <n v="4734"/>
    <n v="3645"/>
    <n v="1089"/>
    <n v="0.23003802281368821"/>
    <s v="Assiut"/>
    <x v="10"/>
  </r>
  <r>
    <n v="167"/>
    <d v="2025-09-21T00:00:00"/>
    <x v="20"/>
    <x v="6"/>
    <x v="2"/>
    <n v="3"/>
    <n v="4455"/>
    <n v="3073"/>
    <n v="1382"/>
    <n v="0.31021324354657687"/>
    <s v="Cairo"/>
    <x v="9"/>
  </r>
  <r>
    <n v="168"/>
    <d v="2025-05-10T00:00:00"/>
    <x v="34"/>
    <x v="3"/>
    <x v="2"/>
    <n v="2"/>
    <n v="1820"/>
    <n v="1001"/>
    <n v="819"/>
    <n v="0.45"/>
    <s v="Alex"/>
    <x v="2"/>
  </r>
  <r>
    <n v="169"/>
    <d v="2025-11-28T00:00:00"/>
    <x v="17"/>
    <x v="4"/>
    <x v="1"/>
    <n v="5"/>
    <n v="6645"/>
    <n v="4917"/>
    <n v="1728"/>
    <n v="0.2600451467268623"/>
    <s v="Alex"/>
    <x v="6"/>
  </r>
  <r>
    <n v="170"/>
    <d v="2025-06-02T00:00:00"/>
    <x v="19"/>
    <x v="3"/>
    <x v="2"/>
    <n v="1"/>
    <n v="121"/>
    <n v="82"/>
    <n v="39"/>
    <n v="0.32231404958677684"/>
    <s v="Giza"/>
    <x v="5"/>
  </r>
  <r>
    <n v="171"/>
    <d v="2025-09-29T00:00:00"/>
    <x v="20"/>
    <x v="5"/>
    <x v="2"/>
    <n v="10"/>
    <n v="19480"/>
    <n v="11882"/>
    <n v="7598"/>
    <n v="0.39004106776180697"/>
    <s v="Alex"/>
    <x v="9"/>
  </r>
  <r>
    <n v="172"/>
    <d v="2025-01-30T00:00:00"/>
    <x v="22"/>
    <x v="0"/>
    <x v="0"/>
    <n v="4"/>
    <n v="1676"/>
    <n v="1139"/>
    <n v="537"/>
    <n v="0.3204057279236277"/>
    <s v="Assiut"/>
    <x v="8"/>
  </r>
  <r>
    <n v="173"/>
    <d v="2025-05-30T00:00:00"/>
    <x v="34"/>
    <x v="4"/>
    <x v="1"/>
    <n v="3"/>
    <n v="1101"/>
    <n v="924"/>
    <n v="177"/>
    <n v="0.16076294277929154"/>
    <s v="Giza"/>
    <x v="2"/>
  </r>
  <r>
    <n v="174"/>
    <d v="2025-10-20T00:00:00"/>
    <x v="12"/>
    <x v="1"/>
    <x v="1"/>
    <n v="3"/>
    <n v="4173"/>
    <n v="2587"/>
    <n v="1586"/>
    <n v="0.38006230529595014"/>
    <s v="Cairo"/>
    <x v="10"/>
  </r>
  <r>
    <n v="175"/>
    <d v="2025-06-09T00:00:00"/>
    <x v="0"/>
    <x v="5"/>
    <x v="2"/>
    <n v="7"/>
    <n v="7973"/>
    <n v="6059"/>
    <n v="1914"/>
    <n v="0.24006020318575191"/>
    <s v="Alex"/>
    <x v="5"/>
  </r>
  <r>
    <n v="176"/>
    <d v="2025-11-04T00:00:00"/>
    <x v="13"/>
    <x v="4"/>
    <x v="1"/>
    <n v="10"/>
    <n v="4910"/>
    <n v="3584"/>
    <n v="1326"/>
    <n v="0.27006109979633403"/>
    <s v="Giza"/>
    <x v="6"/>
  </r>
  <r>
    <n v="177"/>
    <d v="2025-03-06T00:00:00"/>
    <x v="20"/>
    <x v="3"/>
    <x v="2"/>
    <n v="9"/>
    <n v="9207"/>
    <n v="7089"/>
    <n v="2118"/>
    <n v="0.23004235907461715"/>
    <s v="Cairo"/>
    <x v="3"/>
  </r>
  <r>
    <n v="178"/>
    <d v="2025-03-02T00:00:00"/>
    <x v="6"/>
    <x v="0"/>
    <x v="0"/>
    <n v="6"/>
    <n v="3864"/>
    <n v="2241"/>
    <n v="1623"/>
    <n v="0.42003105590062112"/>
    <s v="Cairo"/>
    <x v="3"/>
  </r>
  <r>
    <n v="179"/>
    <d v="2025-12-03T00:00:00"/>
    <x v="35"/>
    <x v="0"/>
    <x v="0"/>
    <n v="4"/>
    <n v="4664"/>
    <n v="2611"/>
    <n v="2053"/>
    <n v="0.440180102915952"/>
    <s v="Assiut"/>
    <x v="7"/>
  </r>
  <r>
    <n v="180"/>
    <d v="2025-01-03T00:00:00"/>
    <x v="37"/>
    <x v="2"/>
    <x v="0"/>
    <n v="3"/>
    <n v="5202"/>
    <n v="4109"/>
    <n v="1093"/>
    <n v="0.2101114955786236"/>
    <s v="Assiut"/>
    <x v="8"/>
  </r>
  <r>
    <n v="181"/>
    <d v="2025-02-23T00:00:00"/>
    <x v="4"/>
    <x v="4"/>
    <x v="1"/>
    <n v="10"/>
    <n v="19870"/>
    <n v="16889"/>
    <n v="2981"/>
    <n v="0.15002516356316054"/>
    <s v="Cairo"/>
    <x v="0"/>
  </r>
  <r>
    <n v="182"/>
    <d v="2025-05-03T00:00:00"/>
    <x v="1"/>
    <x v="6"/>
    <x v="2"/>
    <n v="9"/>
    <n v="5499"/>
    <n v="3959"/>
    <n v="1540"/>
    <n v="0.2800509183487907"/>
    <s v="Assiut"/>
    <x v="2"/>
  </r>
  <r>
    <n v="183"/>
    <d v="2025-04-17T00:00:00"/>
    <x v="22"/>
    <x v="3"/>
    <x v="2"/>
    <n v="6"/>
    <n v="8040"/>
    <n v="6512"/>
    <n v="1528"/>
    <n v="0.1900497512437811"/>
    <s v="Cairo"/>
    <x v="11"/>
  </r>
  <r>
    <n v="184"/>
    <d v="2025-05-13T00:00:00"/>
    <x v="3"/>
    <x v="5"/>
    <x v="2"/>
    <n v="8"/>
    <n v="5328"/>
    <n v="3409"/>
    <n v="1919"/>
    <n v="0.36017267267267267"/>
    <s v="Giza"/>
    <x v="2"/>
  </r>
  <r>
    <n v="185"/>
    <d v="2025-02-21T00:00:00"/>
    <x v="16"/>
    <x v="7"/>
    <x v="0"/>
    <n v="4"/>
    <n v="7428"/>
    <n v="4159"/>
    <n v="3269"/>
    <n v="0.44009154550350027"/>
    <s v="Alex"/>
    <x v="0"/>
  </r>
  <r>
    <n v="186"/>
    <d v="2025-06-17T00:00:00"/>
    <x v="34"/>
    <x v="6"/>
    <x v="2"/>
    <n v="4"/>
    <n v="4224"/>
    <n v="3505"/>
    <n v="719"/>
    <n v="0.17021780303030304"/>
    <s v="Cairo"/>
    <x v="5"/>
  </r>
  <r>
    <n v="187"/>
    <d v="2025-10-25T00:00:00"/>
    <x v="14"/>
    <x v="4"/>
    <x v="1"/>
    <n v="7"/>
    <n v="7392"/>
    <n v="5174"/>
    <n v="2218"/>
    <n v="0.30005411255411257"/>
    <s v="Giza"/>
    <x v="10"/>
  </r>
  <r>
    <n v="188"/>
    <d v="2025-03-09T00:00:00"/>
    <x v="28"/>
    <x v="2"/>
    <x v="0"/>
    <n v="9"/>
    <n v="15273"/>
    <n v="10691"/>
    <n v="4582"/>
    <n v="0.30000654750212796"/>
    <s v="Giza"/>
    <x v="3"/>
  </r>
  <r>
    <n v="189"/>
    <d v="2025-03-12T00:00:00"/>
    <x v="38"/>
    <x v="6"/>
    <x v="2"/>
    <n v="5"/>
    <n v="2180"/>
    <n v="1853"/>
    <n v="327"/>
    <n v="0.15"/>
    <s v="Giza"/>
    <x v="3"/>
  </r>
  <r>
    <n v="190"/>
    <d v="2025-01-27T00:00:00"/>
    <x v="29"/>
    <x v="7"/>
    <x v="0"/>
    <n v="7"/>
    <n v="1463"/>
    <n v="1111"/>
    <n v="352"/>
    <n v="0.24060150375939848"/>
    <s v="Giza"/>
    <x v="8"/>
  </r>
  <r>
    <n v="191"/>
    <d v="2025-07-16T00:00:00"/>
    <x v="2"/>
    <x v="1"/>
    <x v="1"/>
    <n v="8"/>
    <n v="2888"/>
    <n v="1848"/>
    <n v="1040"/>
    <n v="0.36011080332409973"/>
    <s v="Giza"/>
    <x v="1"/>
  </r>
  <r>
    <n v="192"/>
    <d v="2025-02-02T00:00:00"/>
    <x v="32"/>
    <x v="7"/>
    <x v="0"/>
    <n v="2"/>
    <n v="974"/>
    <n v="574"/>
    <n v="400"/>
    <n v="0.41067761806981518"/>
    <s v="Giza"/>
    <x v="0"/>
  </r>
  <r>
    <n v="193"/>
    <d v="2025-11-15T00:00:00"/>
    <x v="32"/>
    <x v="1"/>
    <x v="1"/>
    <n v="4"/>
    <n v="6444"/>
    <n v="4704"/>
    <n v="1740"/>
    <n v="0.27001862197392923"/>
    <s v="Cairo"/>
    <x v="6"/>
  </r>
  <r>
    <n v="194"/>
    <d v="2025-04-19T00:00:00"/>
    <x v="15"/>
    <x v="4"/>
    <x v="1"/>
    <n v="2"/>
    <n v="3572"/>
    <n v="2214"/>
    <n v="1358"/>
    <n v="0.38017917133258677"/>
    <s v="Giza"/>
    <x v="11"/>
  </r>
  <r>
    <n v="195"/>
    <d v="2025-09-11T00:00:00"/>
    <x v="5"/>
    <x v="0"/>
    <x v="0"/>
    <n v="4"/>
    <n v="4048"/>
    <n v="2914"/>
    <n v="1134"/>
    <n v="0.28013833992094861"/>
    <s v="Assiut"/>
    <x v="9"/>
  </r>
  <r>
    <n v="196"/>
    <d v="2025-05-21T00:00:00"/>
    <x v="13"/>
    <x v="2"/>
    <x v="0"/>
    <n v="9"/>
    <n v="2673"/>
    <n v="2084"/>
    <n v="589"/>
    <n v="0.22035166479610924"/>
    <s v="Assiut"/>
    <x v="2"/>
  </r>
  <r>
    <n v="197"/>
    <d v="2025-04-21T00:00:00"/>
    <x v="20"/>
    <x v="4"/>
    <x v="1"/>
    <n v="5"/>
    <n v="7820"/>
    <n v="5161"/>
    <n v="2659"/>
    <n v="0.34002557544757034"/>
    <s v="Assiut"/>
    <x v="11"/>
  </r>
  <r>
    <n v="198"/>
    <d v="2025-03-18T00:00:00"/>
    <x v="18"/>
    <x v="5"/>
    <x v="2"/>
    <n v="6"/>
    <n v="7620"/>
    <n v="4495"/>
    <n v="3125"/>
    <n v="0.41010498687664043"/>
    <s v="Alex"/>
    <x v="3"/>
  </r>
  <r>
    <n v="199"/>
    <d v="2025-05-31T00:00:00"/>
    <x v="17"/>
    <x v="2"/>
    <x v="0"/>
    <n v="3"/>
    <n v="3357"/>
    <n v="2786"/>
    <n v="571"/>
    <n v="0.17009234435507894"/>
    <s v="Giza"/>
    <x v="2"/>
  </r>
  <r>
    <n v="200"/>
    <d v="2025-02-04T00:00:00"/>
    <x v="34"/>
    <x v="3"/>
    <x v="2"/>
    <n v="5"/>
    <n v="5605"/>
    <n v="4596"/>
    <n v="1009"/>
    <n v="0.1800178412132025"/>
    <s v="Assiut"/>
    <x v="0"/>
  </r>
  <r>
    <n v="201"/>
    <d v="2025-04-27T00:00:00"/>
    <x v="39"/>
    <x v="6"/>
    <x v="2"/>
    <n v="2"/>
    <n v="978"/>
    <n v="577"/>
    <n v="401"/>
    <n v="0.41002044989775049"/>
    <s v="Assiut"/>
    <x v="11"/>
  </r>
  <r>
    <n v="202"/>
    <d v="2025-11-21T00:00:00"/>
    <x v="11"/>
    <x v="5"/>
    <x v="2"/>
    <n v="7"/>
    <n v="7798"/>
    <n v="5224"/>
    <n v="2574"/>
    <n v="0.33008463708643243"/>
    <s v="Assiut"/>
    <x v="6"/>
  </r>
  <r>
    <n v="203"/>
    <d v="2025-12-17T00:00:00"/>
    <x v="2"/>
    <x v="3"/>
    <x v="2"/>
    <n v="9"/>
    <n v="8073"/>
    <n v="6054"/>
    <n v="2019"/>
    <n v="0.2500929022668153"/>
    <s v="Cairo"/>
    <x v="7"/>
  </r>
  <r>
    <n v="204"/>
    <d v="2025-11-01T00:00:00"/>
    <x v="20"/>
    <x v="0"/>
    <x v="0"/>
    <n v="6"/>
    <n v="8148"/>
    <n v="6273"/>
    <n v="1875"/>
    <n v="0.23011782032400588"/>
    <s v="Giza"/>
    <x v="6"/>
  </r>
  <r>
    <n v="205"/>
    <d v="2025-03-14T00:00:00"/>
    <x v="30"/>
    <x v="1"/>
    <x v="1"/>
    <n v="4"/>
    <n v="5388"/>
    <n v="4579"/>
    <n v="809"/>
    <n v="0.15014847809948031"/>
    <s v="Giza"/>
    <x v="3"/>
  </r>
  <r>
    <n v="206"/>
    <d v="2025-09-09T00:00:00"/>
    <x v="30"/>
    <x v="5"/>
    <x v="2"/>
    <n v="1"/>
    <n v="468"/>
    <n v="290"/>
    <n v="178"/>
    <n v="0.38034188034188032"/>
    <s v="Assiut"/>
    <x v="9"/>
  </r>
  <r>
    <n v="207"/>
    <d v="2025-11-29T00:00:00"/>
    <x v="25"/>
    <x v="6"/>
    <x v="2"/>
    <n v="5"/>
    <n v="4385"/>
    <n v="2455"/>
    <n v="1930"/>
    <n v="0.44013683010262256"/>
    <s v="Giza"/>
    <x v="6"/>
  </r>
  <r>
    <n v="208"/>
    <d v="2025-12-18T00:00:00"/>
    <x v="35"/>
    <x v="5"/>
    <x v="2"/>
    <n v="4"/>
    <n v="4844"/>
    <n v="3487"/>
    <n v="1357"/>
    <n v="0.28014037985136253"/>
    <s v="Assiut"/>
    <x v="7"/>
  </r>
  <r>
    <n v="209"/>
    <d v="2025-02-22T00:00:00"/>
    <x v="29"/>
    <x v="4"/>
    <x v="1"/>
    <n v="6"/>
    <n v="7236"/>
    <n v="4196"/>
    <n v="3040"/>
    <n v="0.42012161415146487"/>
    <s v="Alex"/>
    <x v="0"/>
  </r>
  <r>
    <n v="210"/>
    <d v="2025-02-01T00:00:00"/>
    <x v="25"/>
    <x v="3"/>
    <x v="2"/>
    <n v="7"/>
    <n v="13139"/>
    <n v="9328"/>
    <n v="3811"/>
    <n v="0.29005251541213184"/>
    <s v="Giza"/>
    <x v="0"/>
  </r>
  <r>
    <n v="211"/>
    <d v="2025-08-14T00:00:00"/>
    <x v="16"/>
    <x v="6"/>
    <x v="2"/>
    <n v="9"/>
    <n v="7119"/>
    <n v="5766"/>
    <n v="1353"/>
    <n v="0.19005478297513695"/>
    <s v="Cairo"/>
    <x v="4"/>
  </r>
  <r>
    <n v="212"/>
    <d v="2025-10-01T00:00:00"/>
    <x v="9"/>
    <x v="0"/>
    <x v="0"/>
    <n v="6"/>
    <n v="11040"/>
    <n v="9384"/>
    <n v="1656"/>
    <n v="0.15"/>
    <s v="Giza"/>
    <x v="10"/>
  </r>
  <r>
    <n v="213"/>
    <d v="2025-05-07T00:00:00"/>
    <x v="10"/>
    <x v="1"/>
    <x v="1"/>
    <n v="7"/>
    <n v="924"/>
    <n v="554"/>
    <n v="370"/>
    <n v="0.40043290043290042"/>
    <s v="Assiut"/>
    <x v="2"/>
  </r>
  <r>
    <n v="214"/>
    <d v="2025-10-25T00:00:00"/>
    <x v="10"/>
    <x v="1"/>
    <x v="1"/>
    <n v="1"/>
    <n v="1988"/>
    <n v="1312"/>
    <n v="676"/>
    <n v="0.34004024144869216"/>
    <s v="Cairo"/>
    <x v="10"/>
  </r>
  <r>
    <n v="215"/>
    <d v="2025-08-20T00:00:00"/>
    <x v="1"/>
    <x v="0"/>
    <x v="0"/>
    <n v="5"/>
    <n v="2985"/>
    <n v="2447"/>
    <n v="538"/>
    <n v="0.18023450586264655"/>
    <s v="Cairo"/>
    <x v="4"/>
  </r>
  <r>
    <n v="216"/>
    <d v="2025-05-10T00:00:00"/>
    <x v="33"/>
    <x v="7"/>
    <x v="0"/>
    <n v="7"/>
    <n v="9471"/>
    <n v="5587"/>
    <n v="3884"/>
    <n v="0.41009397106958084"/>
    <s v="Giza"/>
    <x v="2"/>
  </r>
  <r>
    <n v="217"/>
    <d v="2025-08-27T00:00:00"/>
    <x v="33"/>
    <x v="6"/>
    <x v="2"/>
    <n v="1"/>
    <n v="1346"/>
    <n v="1063"/>
    <n v="283"/>
    <n v="0.21025260029717682"/>
    <s v="Assiut"/>
    <x v="4"/>
  </r>
  <r>
    <n v="218"/>
    <d v="2025-05-04T00:00:00"/>
    <x v="30"/>
    <x v="0"/>
    <x v="0"/>
    <n v="6"/>
    <n v="828"/>
    <n v="521"/>
    <n v="307"/>
    <n v="0.37077294685990336"/>
    <s v="Cairo"/>
    <x v="2"/>
  </r>
  <r>
    <n v="219"/>
    <d v="2025-02-09T00:00:00"/>
    <x v="9"/>
    <x v="3"/>
    <x v="2"/>
    <n v="2"/>
    <n v="2576"/>
    <n v="1828"/>
    <n v="748"/>
    <n v="0.29037267080745344"/>
    <s v="Alex"/>
    <x v="0"/>
  </r>
  <r>
    <n v="220"/>
    <d v="2025-02-05T00:00:00"/>
    <x v="7"/>
    <x v="6"/>
    <x v="2"/>
    <n v="3"/>
    <n v="2217"/>
    <n v="1596"/>
    <n v="621"/>
    <n v="0.28010825439783493"/>
    <s v="Cairo"/>
    <x v="0"/>
  </r>
  <r>
    <n v="221"/>
    <d v="2025-03-22T00:00:00"/>
    <x v="15"/>
    <x v="3"/>
    <x v="2"/>
    <n v="4"/>
    <n v="7080"/>
    <n v="5522"/>
    <n v="1558"/>
    <n v="0.22005649717514125"/>
    <s v="Giza"/>
    <x v="3"/>
  </r>
  <r>
    <n v="222"/>
    <d v="2025-06-03T00:00:00"/>
    <x v="26"/>
    <x v="1"/>
    <x v="1"/>
    <n v="4"/>
    <n v="5224"/>
    <n v="3395"/>
    <n v="1829"/>
    <n v="0.35011485451761104"/>
    <s v="Cairo"/>
    <x v="5"/>
  </r>
  <r>
    <n v="223"/>
    <d v="2025-12-16T00:00:00"/>
    <x v="2"/>
    <x v="6"/>
    <x v="2"/>
    <n v="3"/>
    <n v="3531"/>
    <n v="3001"/>
    <n v="530"/>
    <n v="0.15009912206173889"/>
    <s v="Assiut"/>
    <x v="7"/>
  </r>
  <r>
    <n v="224"/>
    <d v="2025-07-23T00:00:00"/>
    <x v="13"/>
    <x v="0"/>
    <x v="0"/>
    <n v="6"/>
    <n v="1398"/>
    <n v="768"/>
    <n v="630"/>
    <n v="0.45064377682403434"/>
    <s v="Alex"/>
    <x v="1"/>
  </r>
  <r>
    <n v="225"/>
    <d v="2025-02-14T00:00:00"/>
    <x v="36"/>
    <x v="7"/>
    <x v="0"/>
    <n v="3"/>
    <n v="5829"/>
    <n v="4138"/>
    <n v="1691"/>
    <n v="0.29010121804769257"/>
    <s v="Giza"/>
    <x v="0"/>
  </r>
  <r>
    <n v="226"/>
    <d v="2025-09-01T00:00:00"/>
    <x v="19"/>
    <x v="0"/>
    <x v="0"/>
    <n v="9"/>
    <n v="8793"/>
    <n v="5979"/>
    <n v="2814"/>
    <n v="0.3200272944387581"/>
    <s v="Assiut"/>
    <x v="9"/>
  </r>
  <r>
    <n v="227"/>
    <d v="2025-05-29T00:00:00"/>
    <x v="9"/>
    <x v="0"/>
    <x v="0"/>
    <n v="4"/>
    <n v="6540"/>
    <n v="5166"/>
    <n v="1374"/>
    <n v="0.21009174311926607"/>
    <s v="Alex"/>
    <x v="2"/>
  </r>
  <r>
    <n v="228"/>
    <d v="2025-05-31T00:00:00"/>
    <x v="30"/>
    <x v="6"/>
    <x v="2"/>
    <n v="2"/>
    <n v="2022"/>
    <n v="1233"/>
    <n v="789"/>
    <n v="0.39020771513353114"/>
    <s v="Assiut"/>
    <x v="2"/>
  </r>
  <r>
    <n v="229"/>
    <d v="2025-06-20T00:00:00"/>
    <x v="39"/>
    <x v="3"/>
    <x v="2"/>
    <n v="5"/>
    <n v="7705"/>
    <n v="6472"/>
    <n v="1233"/>
    <n v="0.16002595717066839"/>
    <s v="Cairo"/>
    <x v="5"/>
  </r>
  <r>
    <n v="230"/>
    <d v="2025-10-07T00:00:00"/>
    <x v="33"/>
    <x v="4"/>
    <x v="1"/>
    <n v="1"/>
    <n v="1973"/>
    <n v="1085"/>
    <n v="888"/>
    <n v="0.45007602635580335"/>
    <s v="Assiut"/>
    <x v="10"/>
  </r>
  <r>
    <n v="231"/>
    <d v="2025-05-23T00:00:00"/>
    <x v="16"/>
    <x v="1"/>
    <x v="1"/>
    <n v="9"/>
    <n v="9747"/>
    <n v="7602"/>
    <n v="2145"/>
    <n v="0.22006771314250539"/>
    <s v="Giza"/>
    <x v="2"/>
  </r>
  <r>
    <n v="232"/>
    <d v="2025-08-17T00:00:00"/>
    <x v="12"/>
    <x v="1"/>
    <x v="1"/>
    <n v="9"/>
    <n v="2349"/>
    <n v="1926"/>
    <n v="423"/>
    <n v="0.18007662835249041"/>
    <s v="Cairo"/>
    <x v="4"/>
  </r>
  <r>
    <n v="233"/>
    <d v="2025-09-20T00:00:00"/>
    <x v="21"/>
    <x v="2"/>
    <x v="0"/>
    <n v="10"/>
    <n v="14190"/>
    <n v="10074"/>
    <n v="4116"/>
    <n v="0.29006342494714588"/>
    <s v="Assiut"/>
    <x v="9"/>
  </r>
  <r>
    <n v="234"/>
    <d v="2025-03-31T00:00:00"/>
    <x v="5"/>
    <x v="7"/>
    <x v="0"/>
    <n v="9"/>
    <n v="12978"/>
    <n v="7267"/>
    <n v="5711"/>
    <n v="0.44005239636307597"/>
    <s v="Giza"/>
    <x v="3"/>
  </r>
  <r>
    <n v="235"/>
    <d v="2025-04-12T00:00:00"/>
    <x v="7"/>
    <x v="6"/>
    <x v="2"/>
    <n v="4"/>
    <n v="1844"/>
    <n v="1567"/>
    <n v="277"/>
    <n v="0.15021691973969631"/>
    <s v="Cairo"/>
    <x v="11"/>
  </r>
  <r>
    <n v="236"/>
    <d v="2025-04-14T00:00:00"/>
    <x v="23"/>
    <x v="2"/>
    <x v="0"/>
    <n v="4"/>
    <n v="3592"/>
    <n v="2658"/>
    <n v="934"/>
    <n v="0.26002227171492204"/>
    <s v="Alex"/>
    <x v="11"/>
  </r>
  <r>
    <n v="237"/>
    <d v="2025-09-10T00:00:00"/>
    <x v="17"/>
    <x v="3"/>
    <x v="2"/>
    <n v="3"/>
    <n v="1458"/>
    <n v="1064"/>
    <n v="394"/>
    <n v="0.27023319615912206"/>
    <s v="Cairo"/>
    <x v="9"/>
  </r>
  <r>
    <n v="238"/>
    <d v="2025-03-06T00:00:00"/>
    <x v="5"/>
    <x v="2"/>
    <x v="0"/>
    <n v="4"/>
    <n v="4388"/>
    <n v="3378"/>
    <n v="1010"/>
    <n v="0.2301731996353692"/>
    <s v="Assiut"/>
    <x v="3"/>
  </r>
  <r>
    <n v="239"/>
    <d v="2025-12-26T00:00:00"/>
    <x v="3"/>
    <x v="3"/>
    <x v="2"/>
    <n v="2"/>
    <n v="2246"/>
    <n v="1864"/>
    <n v="382"/>
    <n v="0.17008014247551201"/>
    <s v="Alex"/>
    <x v="7"/>
  </r>
  <r>
    <n v="240"/>
    <d v="2025-08-08T00:00:00"/>
    <x v="38"/>
    <x v="7"/>
    <x v="0"/>
    <n v="5"/>
    <n v="4580"/>
    <n v="3389"/>
    <n v="1191"/>
    <n v="0.26004366812227075"/>
    <s v="Cairo"/>
    <x v="4"/>
  </r>
  <r>
    <n v="241"/>
    <d v="2025-04-02T00:00:00"/>
    <x v="9"/>
    <x v="0"/>
    <x v="0"/>
    <n v="3"/>
    <n v="636"/>
    <n v="470"/>
    <n v="166"/>
    <n v="0.2610062893081761"/>
    <s v="Giza"/>
    <x v="11"/>
  </r>
  <r>
    <n v="242"/>
    <d v="2025-06-30T00:00:00"/>
    <x v="26"/>
    <x v="5"/>
    <x v="2"/>
    <n v="9"/>
    <n v="8397"/>
    <n v="5206"/>
    <n v="3191"/>
    <n v="0.38001667262117422"/>
    <s v="Cairo"/>
    <x v="5"/>
  </r>
  <r>
    <n v="243"/>
    <d v="2025-12-12T00:00:00"/>
    <x v="13"/>
    <x v="3"/>
    <x v="2"/>
    <n v="6"/>
    <n v="9018"/>
    <n v="5591"/>
    <n v="3427"/>
    <n v="0.38001774229319141"/>
    <s v="Assiut"/>
    <x v="7"/>
  </r>
  <r>
    <n v="244"/>
    <d v="2025-02-09T00:00:00"/>
    <x v="38"/>
    <x v="4"/>
    <x v="1"/>
    <n v="10"/>
    <n v="14640"/>
    <n v="11126"/>
    <n v="3514"/>
    <n v="0.24002732240437158"/>
    <s v="Assiut"/>
    <x v="0"/>
  </r>
  <r>
    <n v="245"/>
    <d v="2025-07-06T00:00:00"/>
    <x v="18"/>
    <x v="5"/>
    <x v="2"/>
    <n v="9"/>
    <n v="1665"/>
    <n v="1032"/>
    <n v="633"/>
    <n v="0.38018018018018018"/>
    <s v="Alex"/>
    <x v="1"/>
  </r>
  <r>
    <n v="246"/>
    <d v="2025-11-10T00:00:00"/>
    <x v="10"/>
    <x v="1"/>
    <x v="1"/>
    <n v="5"/>
    <n v="2810"/>
    <n v="2079"/>
    <n v="731"/>
    <n v="0.26014234875444842"/>
    <s v="Giza"/>
    <x v="6"/>
  </r>
  <r>
    <n v="247"/>
    <d v="2025-06-23T00:00:00"/>
    <x v="12"/>
    <x v="0"/>
    <x v="0"/>
    <n v="2"/>
    <n v="3984"/>
    <n v="2470"/>
    <n v="1514"/>
    <n v="0.38002008032128515"/>
    <s v="Cairo"/>
    <x v="5"/>
  </r>
  <r>
    <n v="248"/>
    <d v="2025-01-25T00:00:00"/>
    <x v="0"/>
    <x v="0"/>
    <x v="0"/>
    <n v="2"/>
    <n v="1512"/>
    <n v="1118"/>
    <n v="394"/>
    <n v="0.26058201058201058"/>
    <s v="Assiut"/>
    <x v="8"/>
  </r>
  <r>
    <n v="249"/>
    <d v="2025-06-07T00:00:00"/>
    <x v="3"/>
    <x v="1"/>
    <x v="1"/>
    <n v="4"/>
    <n v="4728"/>
    <n v="3120"/>
    <n v="1608"/>
    <n v="0.34010152284263961"/>
    <s v="Giza"/>
    <x v="5"/>
  </r>
  <r>
    <n v="250"/>
    <d v="2025-05-02T00:00:00"/>
    <x v="36"/>
    <x v="2"/>
    <x v="0"/>
    <n v="6"/>
    <n v="11514"/>
    <n v="7368"/>
    <n v="4146"/>
    <n v="0.36008337675872848"/>
    <s v="Assiut"/>
    <x v="2"/>
  </r>
  <r>
    <n v="251"/>
    <d v="2025-06-01T00:00:00"/>
    <x v="36"/>
    <x v="2"/>
    <x v="0"/>
    <n v="10"/>
    <n v="6430"/>
    <n v="4243"/>
    <n v="2187"/>
    <n v="0.34012441679626748"/>
    <s v="Assiut"/>
    <x v="5"/>
  </r>
  <r>
    <n v="252"/>
    <d v="2025-01-16T00:00:00"/>
    <x v="33"/>
    <x v="5"/>
    <x v="2"/>
    <n v="1"/>
    <n v="833"/>
    <n v="583"/>
    <n v="250"/>
    <n v="0.30012004801920766"/>
    <s v="Alex"/>
    <x v="8"/>
  </r>
  <r>
    <n v="253"/>
    <d v="2025-03-17T00:00:00"/>
    <x v="24"/>
    <x v="1"/>
    <x v="1"/>
    <n v="4"/>
    <n v="4876"/>
    <n v="3510"/>
    <n v="1366"/>
    <n v="0.28014766201804758"/>
    <s v="Giza"/>
    <x v="3"/>
  </r>
  <r>
    <n v="254"/>
    <d v="2025-07-15T00:00:00"/>
    <x v="30"/>
    <x v="4"/>
    <x v="1"/>
    <n v="5"/>
    <n v="6005"/>
    <n v="3422"/>
    <n v="2583"/>
    <n v="0.43014154870940885"/>
    <s v="Alex"/>
    <x v="1"/>
  </r>
  <r>
    <n v="255"/>
    <d v="2025-06-20T00:00:00"/>
    <x v="10"/>
    <x v="5"/>
    <x v="2"/>
    <n v="2"/>
    <n v="1064"/>
    <n v="734"/>
    <n v="330"/>
    <n v="0.31015037593984962"/>
    <s v="Alex"/>
    <x v="5"/>
  </r>
  <r>
    <n v="256"/>
    <d v="2025-09-12T00:00:00"/>
    <x v="25"/>
    <x v="2"/>
    <x v="0"/>
    <n v="3"/>
    <n v="2565"/>
    <n v="1564"/>
    <n v="1001"/>
    <n v="0.39025341130604291"/>
    <s v="Assiut"/>
    <x v="9"/>
  </r>
  <r>
    <n v="257"/>
    <d v="2025-03-02T00:00:00"/>
    <x v="7"/>
    <x v="3"/>
    <x v="2"/>
    <n v="1"/>
    <n v="1872"/>
    <n v="1048"/>
    <n v="824"/>
    <n v="0.44017094017094016"/>
    <s v="Giza"/>
    <x v="3"/>
  </r>
  <r>
    <n v="258"/>
    <d v="2025-11-11T00:00:00"/>
    <x v="1"/>
    <x v="2"/>
    <x v="0"/>
    <n v="10"/>
    <n v="16650"/>
    <n v="12654"/>
    <n v="3996"/>
    <n v="0.24"/>
    <s v="Assiut"/>
    <x v="6"/>
  </r>
  <r>
    <n v="259"/>
    <d v="2025-01-08T00:00:00"/>
    <x v="22"/>
    <x v="0"/>
    <x v="0"/>
    <n v="2"/>
    <n v="3666"/>
    <n v="2749"/>
    <n v="917"/>
    <n v="0.25013638843426078"/>
    <s v="Assiut"/>
    <x v="8"/>
  </r>
  <r>
    <n v="260"/>
    <d v="2025-03-04T00:00:00"/>
    <x v="3"/>
    <x v="7"/>
    <x v="0"/>
    <n v="7"/>
    <n v="10850"/>
    <n v="6184"/>
    <n v="4666"/>
    <n v="0.43004608294930874"/>
    <s v="Cairo"/>
    <x v="3"/>
  </r>
  <r>
    <n v="261"/>
    <d v="2025-02-24T00:00:00"/>
    <x v="30"/>
    <x v="1"/>
    <x v="1"/>
    <n v="8"/>
    <n v="12272"/>
    <n v="7485"/>
    <n v="4787"/>
    <n v="0.39007496740547587"/>
    <s v="Assiut"/>
    <x v="0"/>
  </r>
  <r>
    <n v="262"/>
    <d v="2025-08-13T00:00:00"/>
    <x v="27"/>
    <x v="0"/>
    <x v="0"/>
    <n v="10"/>
    <n v="11930"/>
    <n v="9066"/>
    <n v="2864"/>
    <n v="0.24006705783738475"/>
    <s v="Cairo"/>
    <x v="4"/>
  </r>
  <r>
    <n v="263"/>
    <d v="2025-02-15T00:00:00"/>
    <x v="34"/>
    <x v="0"/>
    <x v="0"/>
    <n v="9"/>
    <n v="2475"/>
    <n v="1757"/>
    <n v="718"/>
    <n v="0.29010101010101008"/>
    <s v="Assiut"/>
    <x v="0"/>
  </r>
  <r>
    <n v="264"/>
    <d v="2025-02-27T00:00:00"/>
    <x v="9"/>
    <x v="1"/>
    <x v="1"/>
    <n v="3"/>
    <n v="1005"/>
    <n v="854"/>
    <n v="151"/>
    <n v="0.15024875621890546"/>
    <s v="Cairo"/>
    <x v="0"/>
  </r>
  <r>
    <n v="265"/>
    <d v="2025-02-01T00:00:00"/>
    <x v="26"/>
    <x v="1"/>
    <x v="1"/>
    <n v="7"/>
    <n v="13720"/>
    <n v="10701"/>
    <n v="3019"/>
    <n v="0.22004373177842565"/>
    <s v="Cairo"/>
    <x v="0"/>
  </r>
  <r>
    <n v="266"/>
    <d v="2025-01-22T00:00:00"/>
    <x v="17"/>
    <x v="4"/>
    <x v="1"/>
    <n v="2"/>
    <n v="1890"/>
    <n v="1455"/>
    <n v="435"/>
    <n v="0.23015873015873015"/>
    <s v="Alex"/>
    <x v="8"/>
  </r>
  <r>
    <n v="267"/>
    <d v="2025-12-04T00:00:00"/>
    <x v="16"/>
    <x v="7"/>
    <x v="0"/>
    <n v="10"/>
    <n v="1480"/>
    <n v="1213"/>
    <n v="267"/>
    <n v="0.18040540540540539"/>
    <s v="Alex"/>
    <x v="7"/>
  </r>
  <r>
    <n v="268"/>
    <d v="2025-04-13T00:00:00"/>
    <x v="9"/>
    <x v="1"/>
    <x v="1"/>
    <n v="7"/>
    <n v="6279"/>
    <n v="4458"/>
    <n v="1821"/>
    <n v="0.29001433349259437"/>
    <s v="Giza"/>
    <x v="11"/>
  </r>
  <r>
    <n v="269"/>
    <d v="2025-01-01T00:00:00"/>
    <x v="29"/>
    <x v="7"/>
    <x v="0"/>
    <n v="10"/>
    <n v="3270"/>
    <n v="1896"/>
    <n v="1374"/>
    <n v="0.42018348623853213"/>
    <s v="Cairo"/>
    <x v="8"/>
  </r>
  <r>
    <n v="270"/>
    <d v="2025-07-31T00:00:00"/>
    <x v="38"/>
    <x v="7"/>
    <x v="0"/>
    <n v="6"/>
    <n v="6228"/>
    <n v="3736"/>
    <n v="2492"/>
    <n v="0.40012845215157355"/>
    <s v="Assiut"/>
    <x v="1"/>
  </r>
  <r>
    <n v="271"/>
    <d v="2025-04-27T00:00:00"/>
    <x v="23"/>
    <x v="4"/>
    <x v="1"/>
    <n v="8"/>
    <n v="1336"/>
    <n v="988"/>
    <n v="348"/>
    <n v="0.26047904191616766"/>
    <s v="Cairo"/>
    <x v="11"/>
  </r>
  <r>
    <n v="272"/>
    <d v="2025-02-02T00:00:00"/>
    <x v="3"/>
    <x v="6"/>
    <x v="2"/>
    <n v="8"/>
    <n v="6624"/>
    <n v="4371"/>
    <n v="2253"/>
    <n v="0.34012681159420288"/>
    <s v="Cairo"/>
    <x v="0"/>
  </r>
  <r>
    <n v="273"/>
    <d v="2025-03-25T00:00:00"/>
    <x v="2"/>
    <x v="1"/>
    <x v="1"/>
    <n v="1"/>
    <n v="1954"/>
    <n v="1465"/>
    <n v="489"/>
    <n v="0.25025588536335719"/>
    <s v="Giza"/>
    <x v="3"/>
  </r>
  <r>
    <n v="274"/>
    <d v="2025-11-06T00:00:00"/>
    <x v="15"/>
    <x v="0"/>
    <x v="0"/>
    <n v="9"/>
    <n v="6066"/>
    <n v="4610"/>
    <n v="1456"/>
    <n v="0.24002637652489284"/>
    <s v="Giza"/>
    <x v="6"/>
  </r>
  <r>
    <n v="275"/>
    <d v="2025-07-26T00:00:00"/>
    <x v="29"/>
    <x v="2"/>
    <x v="0"/>
    <n v="2"/>
    <n v="3160"/>
    <n v="2370"/>
    <n v="790"/>
    <n v="0.25"/>
    <s v="Assiut"/>
    <x v="1"/>
  </r>
  <r>
    <n v="276"/>
    <d v="2025-03-04T00:00:00"/>
    <x v="39"/>
    <x v="4"/>
    <x v="1"/>
    <n v="3"/>
    <n v="2736"/>
    <n v="2134"/>
    <n v="602"/>
    <n v="0.22002923976608188"/>
    <s v="Cairo"/>
    <x v="3"/>
  </r>
  <r>
    <n v="277"/>
    <d v="2025-07-26T00:00:00"/>
    <x v="11"/>
    <x v="6"/>
    <x v="2"/>
    <n v="5"/>
    <n v="6195"/>
    <n v="5017"/>
    <n v="1178"/>
    <n v="0.19015334947538337"/>
    <s v="Cairo"/>
    <x v="1"/>
  </r>
  <r>
    <n v="278"/>
    <d v="2025-07-06T00:00:00"/>
    <x v="35"/>
    <x v="7"/>
    <x v="0"/>
    <n v="10"/>
    <n v="17010"/>
    <n v="10206"/>
    <n v="6804"/>
    <n v="0.4"/>
    <s v="Alex"/>
    <x v="1"/>
  </r>
  <r>
    <n v="279"/>
    <d v="2025-12-19T00:00:00"/>
    <x v="20"/>
    <x v="5"/>
    <x v="2"/>
    <n v="9"/>
    <n v="14166"/>
    <n v="11757"/>
    <n v="2409"/>
    <n v="0.17005506141465482"/>
    <s v="Giza"/>
    <x v="7"/>
  </r>
  <r>
    <n v="280"/>
    <d v="2025-07-10T00:00:00"/>
    <x v="16"/>
    <x v="3"/>
    <x v="2"/>
    <n v="6"/>
    <n v="2400"/>
    <n v="1848"/>
    <n v="552"/>
    <n v="0.23"/>
    <s v="Assiut"/>
    <x v="1"/>
  </r>
  <r>
    <n v="281"/>
    <d v="2025-08-28T00:00:00"/>
    <x v="1"/>
    <x v="4"/>
    <x v="1"/>
    <n v="1"/>
    <n v="1014"/>
    <n v="648"/>
    <n v="366"/>
    <n v="0.36094674556213019"/>
    <s v="Alex"/>
    <x v="4"/>
  </r>
  <r>
    <n v="282"/>
    <d v="2025-04-11T00:00:00"/>
    <x v="14"/>
    <x v="4"/>
    <x v="1"/>
    <n v="5"/>
    <n v="3545"/>
    <n v="2446"/>
    <n v="1099"/>
    <n v="0.31001410437235544"/>
    <s v="Cairo"/>
    <x v="11"/>
  </r>
  <r>
    <n v="283"/>
    <d v="2025-02-12T00:00:00"/>
    <x v="26"/>
    <x v="2"/>
    <x v="0"/>
    <n v="7"/>
    <n v="4998"/>
    <n v="2798"/>
    <n v="2200"/>
    <n v="0.44017607042817125"/>
    <s v="Cairo"/>
    <x v="0"/>
  </r>
  <r>
    <n v="284"/>
    <d v="2025-07-19T00:00:00"/>
    <x v="18"/>
    <x v="0"/>
    <x v="0"/>
    <n v="10"/>
    <n v="10840"/>
    <n v="6720"/>
    <n v="4120"/>
    <n v="0.38007380073800739"/>
    <s v="Giza"/>
    <x v="1"/>
  </r>
  <r>
    <n v="285"/>
    <d v="2025-10-21T00:00:00"/>
    <x v="17"/>
    <x v="4"/>
    <x v="1"/>
    <n v="9"/>
    <n v="3087"/>
    <n v="1883"/>
    <n v="1204"/>
    <n v="0.39002267573696148"/>
    <s v="Alex"/>
    <x v="10"/>
  </r>
  <r>
    <n v="286"/>
    <d v="2025-09-24T00:00:00"/>
    <x v="31"/>
    <x v="2"/>
    <x v="0"/>
    <n v="7"/>
    <n v="3129"/>
    <n v="2659"/>
    <n v="470"/>
    <n v="0.15020773410035154"/>
    <s v="Alex"/>
    <x v="9"/>
  </r>
  <r>
    <n v="287"/>
    <d v="2025-06-25T00:00:00"/>
    <x v="25"/>
    <x v="0"/>
    <x v="0"/>
    <n v="10"/>
    <n v="17490"/>
    <n v="11893"/>
    <n v="5597"/>
    <n v="0.32001143510577473"/>
    <s v="Cairo"/>
    <x v="5"/>
  </r>
  <r>
    <n v="288"/>
    <d v="2025-10-17T00:00:00"/>
    <x v="31"/>
    <x v="3"/>
    <x v="2"/>
    <n v="3"/>
    <n v="3975"/>
    <n v="2226"/>
    <n v="1749"/>
    <n v="0.44"/>
    <s v="Assiut"/>
    <x v="10"/>
  </r>
  <r>
    <n v="289"/>
    <d v="2025-07-10T00:00:00"/>
    <x v="29"/>
    <x v="4"/>
    <x v="1"/>
    <n v="7"/>
    <n v="10402"/>
    <n v="6553"/>
    <n v="3849"/>
    <n v="0.37002499519323206"/>
    <s v="Giza"/>
    <x v="1"/>
  </r>
  <r>
    <n v="290"/>
    <d v="2025-05-23T00:00:00"/>
    <x v="11"/>
    <x v="4"/>
    <x v="1"/>
    <n v="10"/>
    <n v="15580"/>
    <n v="10750"/>
    <n v="4830"/>
    <n v="0.31001283697047499"/>
    <s v="Assiut"/>
    <x v="2"/>
  </r>
  <r>
    <n v="291"/>
    <d v="2025-05-15T00:00:00"/>
    <x v="1"/>
    <x v="4"/>
    <x v="1"/>
    <n v="5"/>
    <n v="5415"/>
    <n v="3140"/>
    <n v="2275"/>
    <n v="0.420129270544783"/>
    <s v="Giza"/>
    <x v="2"/>
  </r>
  <r>
    <n v="292"/>
    <d v="2025-02-16T00:00:00"/>
    <x v="22"/>
    <x v="4"/>
    <x v="1"/>
    <n v="9"/>
    <n v="16488"/>
    <n v="12201"/>
    <n v="4287"/>
    <n v="0.26000727802037843"/>
    <s v="Giza"/>
    <x v="0"/>
  </r>
  <r>
    <n v="293"/>
    <d v="2025-12-08T00:00:00"/>
    <x v="7"/>
    <x v="0"/>
    <x v="0"/>
    <n v="1"/>
    <n v="1893"/>
    <n v="1476"/>
    <n v="417"/>
    <n v="0.2202852614896989"/>
    <s v="Giza"/>
    <x v="7"/>
  </r>
  <r>
    <n v="294"/>
    <d v="2025-11-05T00:00:00"/>
    <x v="8"/>
    <x v="2"/>
    <x v="0"/>
    <n v="5"/>
    <n v="2270"/>
    <n v="1906"/>
    <n v="364"/>
    <n v="0.160352422907489"/>
    <s v="Assiut"/>
    <x v="6"/>
  </r>
  <r>
    <n v="295"/>
    <d v="2025-04-04T00:00:00"/>
    <x v="34"/>
    <x v="3"/>
    <x v="2"/>
    <n v="10"/>
    <n v="16550"/>
    <n v="12578"/>
    <n v="3972"/>
    <n v="0.24"/>
    <s v="Giza"/>
    <x v="11"/>
  </r>
  <r>
    <n v="296"/>
    <d v="2025-08-31T00:00:00"/>
    <x v="23"/>
    <x v="1"/>
    <x v="1"/>
    <n v="2"/>
    <n v="1518"/>
    <n v="941"/>
    <n v="577"/>
    <n v="0.38010540184453229"/>
    <s v="Assiut"/>
    <x v="4"/>
  </r>
  <r>
    <n v="297"/>
    <d v="2025-09-13T00:00:00"/>
    <x v="29"/>
    <x v="1"/>
    <x v="1"/>
    <n v="5"/>
    <n v="1630"/>
    <n v="1026"/>
    <n v="604"/>
    <n v="0.37055214723926383"/>
    <s v="Cairo"/>
    <x v="9"/>
  </r>
  <r>
    <n v="298"/>
    <d v="2025-07-26T00:00:00"/>
    <x v="36"/>
    <x v="6"/>
    <x v="2"/>
    <n v="7"/>
    <n v="9415"/>
    <n v="6025"/>
    <n v="3390"/>
    <n v="0.36006372809346787"/>
    <s v="Giza"/>
    <x v="1"/>
  </r>
  <r>
    <n v="299"/>
    <d v="2025-03-23T00:00:00"/>
    <x v="16"/>
    <x v="2"/>
    <x v="0"/>
    <n v="8"/>
    <n v="2184"/>
    <n v="1703"/>
    <n v="481"/>
    <n v="0.22023809523809523"/>
    <s v="Assiut"/>
    <x v="3"/>
  </r>
  <r>
    <n v="300"/>
    <d v="2025-07-29T00:00:00"/>
    <x v="37"/>
    <x v="2"/>
    <x v="0"/>
    <n v="3"/>
    <n v="3111"/>
    <n v="2053"/>
    <n v="1058"/>
    <n v="0.34008357441337189"/>
    <s v="Giza"/>
    <x v="1"/>
  </r>
  <r>
    <m/>
    <m/>
    <x v="40"/>
    <x v="8"/>
    <x v="3"/>
    <m/>
    <m/>
    <m/>
    <m/>
    <m/>
    <m/>
    <x v="12"/>
  </r>
</pivotCacheRecords>
</file>

<file path=xl/pivotCache/pivotCacheRecords2.xml><?xml version="1.0" encoding="utf-8"?>
<pivotCacheRecords xmlns="http://schemas.openxmlformats.org/spreadsheetml/2006/main" xmlns:r="http://schemas.openxmlformats.org/officeDocument/2006/relationships" count="300">
  <r>
    <n v="1"/>
    <x v="0"/>
    <s v="Customer_16"/>
    <s v="Jeans"/>
    <x v="0"/>
    <n v="5"/>
    <n v="720"/>
    <n v="439"/>
    <n v="281"/>
    <n v="0.39027777777777778"/>
    <x v="0"/>
    <x v="0"/>
  </r>
  <r>
    <n v="2"/>
    <x v="1"/>
    <s v="Customer_5"/>
    <s v="Chair"/>
    <x v="1"/>
    <n v="3"/>
    <n v="5367"/>
    <n v="3220"/>
    <n v="2147"/>
    <n v="0.40003726476616358"/>
    <x v="1"/>
    <x v="1"/>
  </r>
  <r>
    <n v="3"/>
    <x v="2"/>
    <s v="Customer_36"/>
    <s v="Chair"/>
    <x v="1"/>
    <n v="9"/>
    <n v="13977"/>
    <n v="9364"/>
    <n v="4613"/>
    <n v="0.33004221220576663"/>
    <x v="2"/>
    <x v="2"/>
  </r>
  <r>
    <n v="4"/>
    <x v="3"/>
    <s v="Customer_4"/>
    <s v="Shoes"/>
    <x v="0"/>
    <n v="3"/>
    <n v="4197"/>
    <n v="3147"/>
    <n v="1050"/>
    <n v="0.25017869907076484"/>
    <x v="3"/>
    <x v="3"/>
  </r>
  <r>
    <n v="5"/>
    <x v="4"/>
    <s v="Customer_8"/>
    <s v="Headphones"/>
    <x v="2"/>
    <n v="3"/>
    <n v="4494"/>
    <n v="2966"/>
    <n v="1528"/>
    <n v="0.34000890075656431"/>
    <x v="1"/>
    <x v="4"/>
  </r>
  <r>
    <n v="6"/>
    <x v="5"/>
    <s v="Customer_24"/>
    <s v="Headphones"/>
    <x v="2"/>
    <n v="8"/>
    <n v="11320"/>
    <n v="7131"/>
    <n v="4189"/>
    <n v="0.3700530035335689"/>
    <x v="3"/>
    <x v="3"/>
  </r>
  <r>
    <n v="7"/>
    <x v="6"/>
    <s v="Customer_21"/>
    <s v="Chair"/>
    <x v="1"/>
    <n v="3"/>
    <n v="732"/>
    <n v="490"/>
    <n v="242"/>
    <n v="0.33060109289617484"/>
    <x v="1"/>
    <x v="5"/>
  </r>
  <r>
    <n v="8"/>
    <x v="7"/>
    <s v="Customer_15"/>
    <s v="Desk"/>
    <x v="1"/>
    <n v="6"/>
    <n v="1698"/>
    <n v="1426"/>
    <n v="272"/>
    <n v="0.16018845700824499"/>
    <x v="1"/>
    <x v="4"/>
  </r>
  <r>
    <n v="9"/>
    <x v="8"/>
    <s v="Customer_6"/>
    <s v="Shoes"/>
    <x v="0"/>
    <n v="8"/>
    <n v="9848"/>
    <n v="7681"/>
    <n v="2167"/>
    <n v="0.22004467912266451"/>
    <x v="1"/>
    <x v="2"/>
  </r>
  <r>
    <n v="10"/>
    <x v="9"/>
    <s v="Customer_27"/>
    <s v="Chair"/>
    <x v="1"/>
    <n v="9"/>
    <n v="2214"/>
    <n v="1217"/>
    <n v="997"/>
    <n v="0.45031616982836498"/>
    <x v="3"/>
    <x v="1"/>
  </r>
  <r>
    <n v="11"/>
    <x v="10"/>
    <s v="Customer_37"/>
    <s v="Laptop"/>
    <x v="2"/>
    <n v="5"/>
    <n v="8505"/>
    <n v="4677"/>
    <n v="3828"/>
    <n v="0.45008818342151674"/>
    <x v="1"/>
    <x v="0"/>
  </r>
  <r>
    <n v="12"/>
    <x v="11"/>
    <s v="Customer_11"/>
    <s v="Headphones"/>
    <x v="2"/>
    <n v="3"/>
    <n v="2214"/>
    <n v="1594"/>
    <n v="620"/>
    <n v="0.28003613369467029"/>
    <x v="0"/>
    <x v="2"/>
  </r>
  <r>
    <n v="13"/>
    <x v="12"/>
    <s v="Customer_5"/>
    <s v="Laptop"/>
    <x v="2"/>
    <n v="5"/>
    <n v="3915"/>
    <n v="2544"/>
    <n v="1371"/>
    <n v="0.35019157088122604"/>
    <x v="1"/>
    <x v="5"/>
  </r>
  <r>
    <n v="14"/>
    <x v="13"/>
    <s v="Customer_28"/>
    <s v="Chair"/>
    <x v="1"/>
    <n v="10"/>
    <n v="17310"/>
    <n v="11770"/>
    <n v="5540"/>
    <n v="0.32004621606008088"/>
    <x v="3"/>
    <x v="6"/>
  </r>
  <r>
    <n v="15"/>
    <x v="14"/>
    <s v="Customer_38"/>
    <s v="Shoes"/>
    <x v="0"/>
    <n v="5"/>
    <n v="2845"/>
    <n v="1849"/>
    <n v="996"/>
    <n v="0.35008787346221443"/>
    <x v="1"/>
    <x v="7"/>
  </r>
  <r>
    <n v="16"/>
    <x v="15"/>
    <s v="Customer_20"/>
    <s v="Headphones"/>
    <x v="2"/>
    <n v="6"/>
    <n v="6906"/>
    <n v="5317"/>
    <n v="1589"/>
    <n v="0.23008977700550245"/>
    <x v="0"/>
    <x v="7"/>
  </r>
  <r>
    <n v="17"/>
    <x v="16"/>
    <s v="Customer_24"/>
    <s v="Phone"/>
    <x v="2"/>
    <n v="9"/>
    <n v="8928"/>
    <n v="4999"/>
    <n v="3929"/>
    <n v="0.44007616487455198"/>
    <x v="1"/>
    <x v="1"/>
  </r>
  <r>
    <n v="18"/>
    <x v="17"/>
    <s v="Customer_36"/>
    <s v="Headphones"/>
    <x v="2"/>
    <n v="2"/>
    <n v="596"/>
    <n v="399"/>
    <n v="197"/>
    <n v="0.33053691275167785"/>
    <x v="0"/>
    <x v="8"/>
  </r>
  <r>
    <n v="19"/>
    <x v="9"/>
    <s v="Customer_21"/>
    <s v="Phone"/>
    <x v="2"/>
    <n v="5"/>
    <n v="1125"/>
    <n v="652"/>
    <n v="473"/>
    <n v="0.42044444444444445"/>
    <x v="0"/>
    <x v="1"/>
  </r>
  <r>
    <n v="20"/>
    <x v="0"/>
    <s v="Customer_7"/>
    <s v="Shirt"/>
    <x v="0"/>
    <n v="8"/>
    <n v="8720"/>
    <n v="5232"/>
    <n v="3488"/>
    <n v="0.4"/>
    <x v="3"/>
    <x v="0"/>
  </r>
  <r>
    <n v="21"/>
    <x v="18"/>
    <s v="Customer_15"/>
    <s v="Laptop"/>
    <x v="2"/>
    <n v="3"/>
    <n v="2034"/>
    <n v="1586"/>
    <n v="448"/>
    <n v="0.22025565388397247"/>
    <x v="3"/>
    <x v="1"/>
  </r>
  <r>
    <n v="22"/>
    <x v="19"/>
    <s v="Customer_29"/>
    <s v="Jeans"/>
    <x v="0"/>
    <n v="1"/>
    <n v="1111"/>
    <n v="877"/>
    <n v="234"/>
    <n v="0.21062106210621062"/>
    <x v="2"/>
    <x v="9"/>
  </r>
  <r>
    <n v="23"/>
    <x v="20"/>
    <s v="Customer_4"/>
    <s v="Laptop"/>
    <x v="2"/>
    <n v="4"/>
    <n v="6988"/>
    <n v="4402"/>
    <n v="2586"/>
    <n v="0.37006296508299941"/>
    <x v="0"/>
    <x v="2"/>
  </r>
  <r>
    <n v="24"/>
    <x v="21"/>
    <s v="Customer_36"/>
    <s v="Jeans"/>
    <x v="0"/>
    <n v="10"/>
    <n v="1860"/>
    <n v="1339"/>
    <n v="521"/>
    <n v="0.28010752688172041"/>
    <x v="3"/>
    <x v="2"/>
  </r>
  <r>
    <n v="25"/>
    <x v="22"/>
    <s v="Customer_2"/>
    <s v="Phone"/>
    <x v="2"/>
    <n v="2"/>
    <n v="2254"/>
    <n v="1780"/>
    <n v="474"/>
    <n v="0.21029281277728482"/>
    <x v="0"/>
    <x v="9"/>
  </r>
  <r>
    <n v="26"/>
    <x v="10"/>
    <s v="Customer_8"/>
    <s v="Jeans"/>
    <x v="0"/>
    <n v="7"/>
    <n v="6510"/>
    <n v="4557"/>
    <n v="1953"/>
    <n v="0.3"/>
    <x v="3"/>
    <x v="0"/>
  </r>
  <r>
    <n v="27"/>
    <x v="8"/>
    <s v="Customer_32"/>
    <s v="Shoes"/>
    <x v="0"/>
    <n v="10"/>
    <n v="18250"/>
    <n v="14052"/>
    <n v="4198"/>
    <n v="0.23002739726027396"/>
    <x v="3"/>
    <x v="2"/>
  </r>
  <r>
    <n v="28"/>
    <x v="23"/>
    <s v="Customer_23"/>
    <s v="Desk"/>
    <x v="1"/>
    <n v="9"/>
    <n v="3159"/>
    <n v="2400"/>
    <n v="759"/>
    <n v="0.2402659069325736"/>
    <x v="0"/>
    <x v="10"/>
  </r>
  <r>
    <n v="29"/>
    <x v="24"/>
    <s v="Customer_36"/>
    <s v="Phone"/>
    <x v="2"/>
    <n v="9"/>
    <n v="7785"/>
    <n v="4671"/>
    <n v="3114"/>
    <n v="0.4"/>
    <x v="0"/>
    <x v="8"/>
  </r>
  <r>
    <n v="30"/>
    <x v="25"/>
    <s v="Customer_38"/>
    <s v="Desk"/>
    <x v="1"/>
    <n v="8"/>
    <n v="14528"/>
    <n v="9733"/>
    <n v="4795"/>
    <n v="0.33005231277533037"/>
    <x v="0"/>
    <x v="8"/>
  </r>
  <r>
    <n v="31"/>
    <x v="26"/>
    <s v="Customer_30"/>
    <s v="Jeans"/>
    <x v="0"/>
    <n v="9"/>
    <n v="11943"/>
    <n v="6568"/>
    <n v="5375"/>
    <n v="0.45005442518630162"/>
    <x v="1"/>
    <x v="9"/>
  </r>
  <r>
    <n v="32"/>
    <x v="27"/>
    <s v="Customer_33"/>
    <s v="Jeans"/>
    <x v="0"/>
    <n v="7"/>
    <n v="7259"/>
    <n v="4355"/>
    <n v="2904"/>
    <n v="0.40005510400881666"/>
    <x v="1"/>
    <x v="3"/>
  </r>
  <r>
    <n v="33"/>
    <x v="28"/>
    <s v="Customer_20"/>
    <s v="Shirt"/>
    <x v="0"/>
    <n v="3"/>
    <n v="4644"/>
    <n v="3204"/>
    <n v="1440"/>
    <n v="0.31007751937984496"/>
    <x v="0"/>
    <x v="5"/>
  </r>
  <r>
    <n v="34"/>
    <x v="29"/>
    <s v="Customer_40"/>
    <s v="Shirt"/>
    <x v="0"/>
    <n v="1"/>
    <n v="1156"/>
    <n v="890"/>
    <n v="266"/>
    <n v="0.2301038062283737"/>
    <x v="3"/>
    <x v="5"/>
  </r>
  <r>
    <n v="35"/>
    <x v="30"/>
    <s v="Customer_27"/>
    <s v="Desk"/>
    <x v="1"/>
    <n v="4"/>
    <n v="5520"/>
    <n v="4636"/>
    <n v="884"/>
    <n v="0.16014492753623188"/>
    <x v="0"/>
    <x v="5"/>
  </r>
  <r>
    <n v="36"/>
    <x v="31"/>
    <s v="Customer_17"/>
    <s v="Chair"/>
    <x v="1"/>
    <n v="3"/>
    <n v="2055"/>
    <n v="1294"/>
    <n v="761"/>
    <n v="0.37031630170316304"/>
    <x v="0"/>
    <x v="8"/>
  </r>
  <r>
    <n v="37"/>
    <x v="32"/>
    <s v="Customer_34"/>
    <s v="Desk"/>
    <x v="1"/>
    <n v="4"/>
    <n v="7780"/>
    <n v="6068"/>
    <n v="1712"/>
    <n v="0.22005141388174806"/>
    <x v="0"/>
    <x v="5"/>
  </r>
  <r>
    <n v="38"/>
    <x v="33"/>
    <s v="Customer_38"/>
    <s v="Shirt"/>
    <x v="0"/>
    <n v="8"/>
    <n v="14672"/>
    <n v="11444"/>
    <n v="3228"/>
    <n v="0.22001090512540894"/>
    <x v="0"/>
    <x v="8"/>
  </r>
  <r>
    <n v="39"/>
    <x v="34"/>
    <s v="Customer_20"/>
    <s v="Desk"/>
    <x v="1"/>
    <n v="6"/>
    <n v="5688"/>
    <n v="3924"/>
    <n v="1764"/>
    <n v="0.310126582278481"/>
    <x v="0"/>
    <x v="9"/>
  </r>
  <r>
    <n v="40"/>
    <x v="35"/>
    <s v="Customer_40"/>
    <s v="Shirt"/>
    <x v="0"/>
    <n v="10"/>
    <n v="1770"/>
    <n v="1469"/>
    <n v="301"/>
    <n v="0.17005649717514124"/>
    <x v="2"/>
    <x v="0"/>
  </r>
  <r>
    <n v="41"/>
    <x v="36"/>
    <s v="Customer_4"/>
    <s v="Phone"/>
    <x v="2"/>
    <n v="2"/>
    <n v="2874"/>
    <n v="1781"/>
    <n v="1093"/>
    <n v="0.38030619345859429"/>
    <x v="1"/>
    <x v="6"/>
  </r>
  <r>
    <n v="42"/>
    <x v="37"/>
    <s v="Customer_32"/>
    <s v="Jeans"/>
    <x v="0"/>
    <n v="3"/>
    <n v="5307"/>
    <n v="3237"/>
    <n v="2070"/>
    <n v="0.39005087620124362"/>
    <x v="3"/>
    <x v="2"/>
  </r>
  <r>
    <n v="43"/>
    <x v="38"/>
    <s v="Customer_22"/>
    <s v="Shoes"/>
    <x v="0"/>
    <n v="5"/>
    <n v="1315"/>
    <n v="1012"/>
    <n v="303"/>
    <n v="0.23041825095057034"/>
    <x v="3"/>
    <x v="0"/>
  </r>
  <r>
    <n v="44"/>
    <x v="39"/>
    <s v="Customer_30"/>
    <s v="Desk"/>
    <x v="1"/>
    <n v="8"/>
    <n v="13544"/>
    <n v="8261"/>
    <n v="5283"/>
    <n v="0.39006202008269342"/>
    <x v="0"/>
    <x v="4"/>
  </r>
  <r>
    <n v="45"/>
    <x v="40"/>
    <s v="Customer_35"/>
    <s v="Headphones"/>
    <x v="2"/>
    <n v="10"/>
    <n v="9960"/>
    <n v="5478"/>
    <n v="4482"/>
    <n v="0.45"/>
    <x v="3"/>
    <x v="7"/>
  </r>
  <r>
    <n v="46"/>
    <x v="39"/>
    <s v="Customer_34"/>
    <s v="Chair"/>
    <x v="1"/>
    <n v="4"/>
    <n v="1532"/>
    <n v="1103"/>
    <n v="429"/>
    <n v="0.2800261096605744"/>
    <x v="0"/>
    <x v="4"/>
  </r>
  <r>
    <n v="47"/>
    <x v="41"/>
    <s v="Customer_22"/>
    <s v="Phone"/>
    <x v="2"/>
    <n v="10"/>
    <n v="14070"/>
    <n v="9708"/>
    <n v="4362"/>
    <n v="0.31002132196162047"/>
    <x v="3"/>
    <x v="5"/>
  </r>
  <r>
    <n v="48"/>
    <x v="42"/>
    <s v="Customer_1"/>
    <s v="Desk"/>
    <x v="1"/>
    <n v="5"/>
    <n v="4265"/>
    <n v="3369"/>
    <n v="896"/>
    <n v="0.21008206330597889"/>
    <x v="0"/>
    <x v="5"/>
  </r>
  <r>
    <n v="49"/>
    <x v="43"/>
    <s v="Customer_15"/>
    <s v="Phone"/>
    <x v="2"/>
    <n v="2"/>
    <n v="3836"/>
    <n v="3260"/>
    <n v="576"/>
    <n v="0.15015641293013557"/>
    <x v="1"/>
    <x v="3"/>
  </r>
  <r>
    <n v="50"/>
    <x v="44"/>
    <s v="Customer_4"/>
    <s v="Phone"/>
    <x v="2"/>
    <n v="9"/>
    <n v="7002"/>
    <n v="4901"/>
    <n v="2101"/>
    <n v="0.30005712653527561"/>
    <x v="1"/>
    <x v="3"/>
  </r>
  <r>
    <n v="51"/>
    <x v="45"/>
    <s v="Customer_11"/>
    <s v="Jeans"/>
    <x v="0"/>
    <n v="3"/>
    <n v="5931"/>
    <n v="4329"/>
    <n v="1602"/>
    <n v="0.27010622154779967"/>
    <x v="2"/>
    <x v="2"/>
  </r>
  <r>
    <n v="52"/>
    <x v="11"/>
    <s v="Customer_27"/>
    <s v="Desk"/>
    <x v="1"/>
    <n v="10"/>
    <n v="1630"/>
    <n v="994"/>
    <n v="636"/>
    <n v="0.39018404907975462"/>
    <x v="2"/>
    <x v="2"/>
  </r>
  <r>
    <n v="53"/>
    <x v="15"/>
    <s v="Customer_27"/>
    <s v="Phone"/>
    <x v="2"/>
    <n v="1"/>
    <n v="813"/>
    <n v="536"/>
    <n v="277"/>
    <n v="0.34071340713407133"/>
    <x v="3"/>
    <x v="7"/>
  </r>
  <r>
    <n v="54"/>
    <x v="46"/>
    <s v="Customer_25"/>
    <s v="Phone"/>
    <x v="2"/>
    <n v="2"/>
    <n v="2808"/>
    <n v="2049"/>
    <n v="759"/>
    <n v="0.27029914529914528"/>
    <x v="0"/>
    <x v="5"/>
  </r>
  <r>
    <n v="55"/>
    <x v="7"/>
    <s v="Customer_26"/>
    <s v="Phone"/>
    <x v="2"/>
    <n v="1"/>
    <n v="1896"/>
    <n v="1156"/>
    <n v="740"/>
    <n v="0.39029535864978904"/>
    <x v="1"/>
    <x v="4"/>
  </r>
  <r>
    <n v="56"/>
    <x v="38"/>
    <s v="Customer_34"/>
    <s v="Shirt"/>
    <x v="0"/>
    <n v="8"/>
    <n v="6392"/>
    <n v="3771"/>
    <n v="2621"/>
    <n v="0.41004380475594493"/>
    <x v="2"/>
    <x v="0"/>
  </r>
  <r>
    <n v="57"/>
    <x v="47"/>
    <s v="Customer_35"/>
    <s v="Laptop"/>
    <x v="2"/>
    <n v="5"/>
    <n v="4015"/>
    <n v="3332"/>
    <n v="683"/>
    <n v="0.1701120797011208"/>
    <x v="1"/>
    <x v="4"/>
  </r>
  <r>
    <n v="58"/>
    <x v="48"/>
    <s v="Customer_21"/>
    <s v="Shoes"/>
    <x v="0"/>
    <n v="3"/>
    <n v="699"/>
    <n v="468"/>
    <n v="231"/>
    <n v="0.33047210300429186"/>
    <x v="0"/>
    <x v="2"/>
  </r>
  <r>
    <n v="59"/>
    <x v="49"/>
    <s v="Customer_24"/>
    <s v="Laptop"/>
    <x v="2"/>
    <n v="1"/>
    <n v="519"/>
    <n v="295"/>
    <n v="224"/>
    <n v="0.43159922928709055"/>
    <x v="0"/>
    <x v="0"/>
  </r>
  <r>
    <n v="60"/>
    <x v="50"/>
    <s v="Customer_17"/>
    <s v="Phone"/>
    <x v="2"/>
    <n v="7"/>
    <n v="9093"/>
    <n v="5273"/>
    <n v="3820"/>
    <n v="0.42010337622346861"/>
    <x v="1"/>
    <x v="4"/>
  </r>
  <r>
    <n v="61"/>
    <x v="27"/>
    <s v="Customer_28"/>
    <s v="Shoes"/>
    <x v="0"/>
    <n v="2"/>
    <n v="3684"/>
    <n v="2394"/>
    <n v="1290"/>
    <n v="0.35016286644951139"/>
    <x v="3"/>
    <x v="3"/>
  </r>
  <r>
    <n v="62"/>
    <x v="32"/>
    <s v="Customer_12"/>
    <s v="Jeans"/>
    <x v="0"/>
    <n v="6"/>
    <n v="11088"/>
    <n v="7539"/>
    <n v="3549"/>
    <n v="0.32007575757575757"/>
    <x v="3"/>
    <x v="5"/>
  </r>
  <r>
    <n v="63"/>
    <x v="51"/>
    <s v="Customer_32"/>
    <s v="Phone"/>
    <x v="2"/>
    <n v="8"/>
    <n v="1200"/>
    <n v="924"/>
    <n v="276"/>
    <n v="0.23"/>
    <x v="0"/>
    <x v="10"/>
  </r>
  <r>
    <n v="64"/>
    <x v="52"/>
    <s v="Customer_2"/>
    <s v="Headphones"/>
    <x v="2"/>
    <n v="10"/>
    <n v="9450"/>
    <n v="6048"/>
    <n v="3402"/>
    <n v="0.36"/>
    <x v="2"/>
    <x v="4"/>
  </r>
  <r>
    <n v="65"/>
    <x v="13"/>
    <s v="Customer_11"/>
    <s v="Phone"/>
    <x v="2"/>
    <n v="9"/>
    <n v="10926"/>
    <n v="6009"/>
    <n v="4917"/>
    <n v="0.45002745744096651"/>
    <x v="1"/>
    <x v="6"/>
  </r>
  <r>
    <n v="66"/>
    <x v="53"/>
    <s v="Customer_21"/>
    <s v="Shirt"/>
    <x v="0"/>
    <n v="10"/>
    <n v="14570"/>
    <n v="8887"/>
    <n v="5683"/>
    <n v="0.39004804392587511"/>
    <x v="1"/>
    <x v="8"/>
  </r>
  <r>
    <n v="67"/>
    <x v="54"/>
    <s v="Customer_7"/>
    <s v="Jeans"/>
    <x v="0"/>
    <n v="5"/>
    <n v="1945"/>
    <n v="1536"/>
    <n v="409"/>
    <n v="0.2102827763496144"/>
    <x v="1"/>
    <x v="4"/>
  </r>
  <r>
    <n v="68"/>
    <x v="55"/>
    <s v="Customer_22"/>
    <s v="Phone"/>
    <x v="2"/>
    <n v="7"/>
    <n v="8309"/>
    <n v="4736"/>
    <n v="3573"/>
    <n v="0.43001564568540135"/>
    <x v="2"/>
    <x v="0"/>
  </r>
  <r>
    <n v="69"/>
    <x v="56"/>
    <s v="Customer_16"/>
    <s v="Shirt"/>
    <x v="0"/>
    <n v="4"/>
    <n v="4516"/>
    <n v="3522"/>
    <n v="994"/>
    <n v="0.22010628875110719"/>
    <x v="2"/>
    <x v="10"/>
  </r>
  <r>
    <n v="70"/>
    <x v="57"/>
    <s v="Customer_24"/>
    <s v="Laptop"/>
    <x v="2"/>
    <n v="4"/>
    <n v="584"/>
    <n v="490"/>
    <n v="94"/>
    <n v="0.16095890410958905"/>
    <x v="0"/>
    <x v="7"/>
  </r>
  <r>
    <n v="71"/>
    <x v="58"/>
    <s v="Customer_25"/>
    <s v="Headphones"/>
    <x v="2"/>
    <n v="9"/>
    <n v="5121"/>
    <n v="2970"/>
    <n v="2151"/>
    <n v="0.42003514938488579"/>
    <x v="2"/>
    <x v="5"/>
  </r>
  <r>
    <n v="72"/>
    <x v="59"/>
    <s v="Customer_39"/>
    <s v="Shirt"/>
    <x v="0"/>
    <n v="3"/>
    <n v="5322"/>
    <n v="3193"/>
    <n v="2129"/>
    <n v="0.40003757985719657"/>
    <x v="3"/>
    <x v="10"/>
  </r>
  <r>
    <n v="73"/>
    <x v="60"/>
    <s v="Customer_18"/>
    <s v="Chair"/>
    <x v="1"/>
    <n v="2"/>
    <n v="2670"/>
    <n v="2162"/>
    <n v="508"/>
    <n v="0.1902621722846442"/>
    <x v="3"/>
    <x v="4"/>
  </r>
  <r>
    <n v="74"/>
    <x v="61"/>
    <s v="Customer_27"/>
    <s v="Headphones"/>
    <x v="2"/>
    <n v="2"/>
    <n v="1626"/>
    <n v="1105"/>
    <n v="521"/>
    <n v="0.32041820418204181"/>
    <x v="1"/>
    <x v="0"/>
  </r>
  <r>
    <n v="75"/>
    <x v="62"/>
    <s v="Customer_11"/>
    <s v="Phone"/>
    <x v="2"/>
    <n v="4"/>
    <n v="2228"/>
    <n v="1336"/>
    <n v="892"/>
    <n v="0.40035906642728902"/>
    <x v="3"/>
    <x v="11"/>
  </r>
  <r>
    <n v="76"/>
    <x v="63"/>
    <s v="Customer_34"/>
    <s v="Phone"/>
    <x v="2"/>
    <n v="8"/>
    <n v="13176"/>
    <n v="10277"/>
    <n v="2899"/>
    <n v="0.22002125075895568"/>
    <x v="2"/>
    <x v="11"/>
  </r>
  <r>
    <n v="77"/>
    <x v="64"/>
    <s v="Customer_18"/>
    <s v="Desk"/>
    <x v="1"/>
    <n v="2"/>
    <n v="964"/>
    <n v="713"/>
    <n v="251"/>
    <n v="0.26037344398340251"/>
    <x v="3"/>
    <x v="6"/>
  </r>
  <r>
    <n v="78"/>
    <x v="65"/>
    <s v="Customer_30"/>
    <s v="Shirt"/>
    <x v="0"/>
    <n v="5"/>
    <n v="9005"/>
    <n v="6213"/>
    <n v="2792"/>
    <n v="0.31004997223764574"/>
    <x v="3"/>
    <x v="8"/>
  </r>
  <r>
    <n v="79"/>
    <x v="36"/>
    <s v="Customer_17"/>
    <s v="Shoes"/>
    <x v="0"/>
    <n v="7"/>
    <n v="7910"/>
    <n v="5220"/>
    <n v="2690"/>
    <n v="0.34007585335018964"/>
    <x v="1"/>
    <x v="6"/>
  </r>
  <r>
    <n v="80"/>
    <x v="66"/>
    <s v="Customer_36"/>
    <s v="Chair"/>
    <x v="1"/>
    <n v="4"/>
    <n v="5716"/>
    <n v="3658"/>
    <n v="2058"/>
    <n v="0.36004198740377885"/>
    <x v="0"/>
    <x v="11"/>
  </r>
  <r>
    <n v="81"/>
    <x v="67"/>
    <s v="Customer_18"/>
    <s v="Desk"/>
    <x v="1"/>
    <n v="3"/>
    <n v="1824"/>
    <n v="1222"/>
    <n v="602"/>
    <n v="0.33004385964912281"/>
    <x v="0"/>
    <x v="0"/>
  </r>
  <r>
    <n v="82"/>
    <x v="68"/>
    <s v="Customer_19"/>
    <s v="Headphones"/>
    <x v="2"/>
    <n v="7"/>
    <n v="6258"/>
    <n v="5319"/>
    <n v="939"/>
    <n v="0.15004793863854266"/>
    <x v="0"/>
    <x v="0"/>
  </r>
  <r>
    <n v="83"/>
    <x v="69"/>
    <s v="Customer_20"/>
    <s v="Phone"/>
    <x v="2"/>
    <n v="6"/>
    <n v="1164"/>
    <n v="721"/>
    <n v="443"/>
    <n v="0.38058419243986252"/>
    <x v="1"/>
    <x v="7"/>
  </r>
  <r>
    <n v="84"/>
    <x v="70"/>
    <s v="Customer_4"/>
    <s v="Laptop"/>
    <x v="2"/>
    <n v="4"/>
    <n v="2416"/>
    <n v="1667"/>
    <n v="749"/>
    <n v="0.31001655629139074"/>
    <x v="3"/>
    <x v="11"/>
  </r>
  <r>
    <n v="85"/>
    <x v="68"/>
    <s v="Customer_32"/>
    <s v="Shirt"/>
    <x v="0"/>
    <n v="4"/>
    <n v="6124"/>
    <n v="4286"/>
    <n v="1838"/>
    <n v="0.30013063357282821"/>
    <x v="0"/>
    <x v="0"/>
  </r>
  <r>
    <n v="86"/>
    <x v="71"/>
    <s v="Customer_38"/>
    <s v="Desk"/>
    <x v="1"/>
    <n v="8"/>
    <n v="8792"/>
    <n v="6154"/>
    <n v="2638"/>
    <n v="0.3000454959053685"/>
    <x v="2"/>
    <x v="10"/>
  </r>
  <r>
    <n v="87"/>
    <x v="72"/>
    <s v="Customer_4"/>
    <s v="Laptop"/>
    <x v="2"/>
    <n v="2"/>
    <n v="1392"/>
    <n v="1002"/>
    <n v="390"/>
    <n v="0.28017241379310343"/>
    <x v="0"/>
    <x v="7"/>
  </r>
  <r>
    <n v="88"/>
    <x v="73"/>
    <s v="Customer_19"/>
    <s v="Desk"/>
    <x v="1"/>
    <n v="3"/>
    <n v="4419"/>
    <n v="2872"/>
    <n v="1547"/>
    <n v="0.35007920343969223"/>
    <x v="1"/>
    <x v="10"/>
  </r>
  <r>
    <n v="89"/>
    <x v="45"/>
    <s v="Customer_23"/>
    <s v="Desk"/>
    <x v="1"/>
    <n v="10"/>
    <n v="19240"/>
    <n v="13468"/>
    <n v="5772"/>
    <n v="0.3"/>
    <x v="3"/>
    <x v="2"/>
  </r>
  <r>
    <n v="90"/>
    <x v="52"/>
    <s v="Customer_19"/>
    <s v="Jeans"/>
    <x v="0"/>
    <n v="2"/>
    <n v="706"/>
    <n v="465"/>
    <n v="241"/>
    <n v="0.34135977337110479"/>
    <x v="3"/>
    <x v="4"/>
  </r>
  <r>
    <n v="91"/>
    <x v="74"/>
    <s v="Customer_30"/>
    <s v="Jeans"/>
    <x v="0"/>
    <n v="8"/>
    <n v="13992"/>
    <n v="8675"/>
    <n v="5317"/>
    <n v="0.38000285877644369"/>
    <x v="3"/>
    <x v="4"/>
  </r>
  <r>
    <n v="92"/>
    <x v="75"/>
    <s v="Customer_4"/>
    <s v="Desk"/>
    <x v="1"/>
    <n v="8"/>
    <n v="10704"/>
    <n v="6636"/>
    <n v="4068"/>
    <n v="0.38004484304932734"/>
    <x v="3"/>
    <x v="3"/>
  </r>
  <r>
    <n v="93"/>
    <x v="24"/>
    <s v="Customer_4"/>
    <s v="Headphones"/>
    <x v="2"/>
    <n v="3"/>
    <n v="1050"/>
    <n v="661"/>
    <n v="389"/>
    <n v="0.37047619047619046"/>
    <x v="2"/>
    <x v="8"/>
  </r>
  <r>
    <n v="94"/>
    <x v="76"/>
    <s v="Customer_28"/>
    <s v="Chair"/>
    <x v="1"/>
    <n v="7"/>
    <n v="10374"/>
    <n v="6639"/>
    <n v="3735"/>
    <n v="0.3600347021399653"/>
    <x v="2"/>
    <x v="8"/>
  </r>
  <r>
    <n v="95"/>
    <x v="27"/>
    <s v="Customer_13"/>
    <s v="Shoes"/>
    <x v="0"/>
    <n v="7"/>
    <n v="5593"/>
    <n v="3076"/>
    <n v="2517"/>
    <n v="0.45002681923833365"/>
    <x v="3"/>
    <x v="3"/>
  </r>
  <r>
    <n v="96"/>
    <x v="77"/>
    <s v="Customer_1"/>
    <s v="Shoes"/>
    <x v="0"/>
    <n v="1"/>
    <n v="350"/>
    <n v="273"/>
    <n v="77"/>
    <n v="0.22"/>
    <x v="2"/>
    <x v="6"/>
  </r>
  <r>
    <n v="97"/>
    <x v="78"/>
    <s v="Customer_25"/>
    <s v="Shirt"/>
    <x v="0"/>
    <n v="10"/>
    <n v="15910"/>
    <n v="12568"/>
    <n v="3342"/>
    <n v="0.21005656819610308"/>
    <x v="1"/>
    <x v="0"/>
  </r>
  <r>
    <n v="98"/>
    <x v="65"/>
    <s v="Customer_19"/>
    <s v="Desk"/>
    <x v="1"/>
    <n v="1"/>
    <n v="918"/>
    <n v="679"/>
    <n v="239"/>
    <n v="0.26034858387799564"/>
    <x v="0"/>
    <x v="8"/>
  </r>
  <r>
    <n v="99"/>
    <x v="79"/>
    <s v="Customer_10"/>
    <s v="Desk"/>
    <x v="1"/>
    <n v="1"/>
    <n v="1186"/>
    <n v="948"/>
    <n v="238"/>
    <n v="0.20067453625632378"/>
    <x v="1"/>
    <x v="5"/>
  </r>
  <r>
    <n v="100"/>
    <x v="80"/>
    <s v="Customer_11"/>
    <s v="Jeans"/>
    <x v="0"/>
    <n v="3"/>
    <n v="4590"/>
    <n v="3396"/>
    <n v="1194"/>
    <n v="0.26013071895424839"/>
    <x v="3"/>
    <x v="11"/>
  </r>
  <r>
    <n v="101"/>
    <x v="81"/>
    <s v="Customer_8"/>
    <s v="Phone"/>
    <x v="2"/>
    <n v="7"/>
    <n v="1911"/>
    <n v="1471"/>
    <n v="440"/>
    <n v="0.23024594453165881"/>
    <x v="1"/>
    <x v="9"/>
  </r>
  <r>
    <n v="102"/>
    <x v="43"/>
    <s v="Customer_5"/>
    <s v="Shoes"/>
    <x v="0"/>
    <n v="10"/>
    <n v="2400"/>
    <n v="1416"/>
    <n v="984"/>
    <n v="0.41"/>
    <x v="0"/>
    <x v="3"/>
  </r>
  <r>
    <n v="103"/>
    <x v="82"/>
    <s v="Customer_7"/>
    <s v="Phone"/>
    <x v="2"/>
    <n v="4"/>
    <n v="7468"/>
    <n v="6347"/>
    <n v="1121"/>
    <n v="0.15010712372790574"/>
    <x v="3"/>
    <x v="4"/>
  </r>
  <r>
    <n v="104"/>
    <x v="83"/>
    <s v="Customer_14"/>
    <s v="Phone"/>
    <x v="2"/>
    <n v="10"/>
    <n v="17790"/>
    <n v="10851"/>
    <n v="6939"/>
    <n v="0.39005059021922428"/>
    <x v="1"/>
    <x v="1"/>
  </r>
  <r>
    <n v="105"/>
    <x v="84"/>
    <s v="Customer_6"/>
    <s v="Headphones"/>
    <x v="2"/>
    <n v="3"/>
    <n v="1338"/>
    <n v="976"/>
    <n v="362"/>
    <n v="0.27055306427503739"/>
    <x v="3"/>
    <x v="7"/>
  </r>
  <r>
    <n v="106"/>
    <x v="85"/>
    <s v="Customer_4"/>
    <s v="Desk"/>
    <x v="1"/>
    <n v="10"/>
    <n v="15740"/>
    <n v="10860"/>
    <n v="4880"/>
    <n v="0.31003811944091486"/>
    <x v="3"/>
    <x v="1"/>
  </r>
  <r>
    <n v="107"/>
    <x v="86"/>
    <s v="Customer_23"/>
    <s v="Shirt"/>
    <x v="0"/>
    <n v="6"/>
    <n v="8706"/>
    <n v="6355"/>
    <n v="2351"/>
    <n v="0.27004364805881004"/>
    <x v="0"/>
    <x v="7"/>
  </r>
  <r>
    <n v="108"/>
    <x v="87"/>
    <s v="Customer_1"/>
    <s v="Chair"/>
    <x v="1"/>
    <n v="6"/>
    <n v="4506"/>
    <n v="3649"/>
    <n v="857"/>
    <n v="0.19019085663559698"/>
    <x v="0"/>
    <x v="5"/>
  </r>
  <r>
    <n v="109"/>
    <x v="88"/>
    <s v="Customer_4"/>
    <s v="Phone"/>
    <x v="2"/>
    <n v="6"/>
    <n v="8448"/>
    <n v="5491"/>
    <n v="2957"/>
    <n v="0.35002367424242425"/>
    <x v="3"/>
    <x v="7"/>
  </r>
  <r>
    <n v="110"/>
    <x v="89"/>
    <s v="Customer_35"/>
    <s v="Shoes"/>
    <x v="0"/>
    <n v="8"/>
    <n v="15056"/>
    <n v="10990"/>
    <n v="4066"/>
    <n v="0.27005844845908605"/>
    <x v="0"/>
    <x v="10"/>
  </r>
  <r>
    <n v="111"/>
    <x v="90"/>
    <s v="Customer_12"/>
    <s v="Phone"/>
    <x v="2"/>
    <n v="10"/>
    <n v="3610"/>
    <n v="2129"/>
    <n v="1481"/>
    <n v="0.41024930747922439"/>
    <x v="2"/>
    <x v="1"/>
  </r>
  <r>
    <n v="112"/>
    <x v="91"/>
    <s v="Customer_26"/>
    <s v="Shoes"/>
    <x v="0"/>
    <n v="9"/>
    <n v="9522"/>
    <n v="5998"/>
    <n v="3524"/>
    <n v="0.37009031716026047"/>
    <x v="2"/>
    <x v="3"/>
  </r>
  <r>
    <n v="113"/>
    <x v="92"/>
    <s v="Customer_4"/>
    <s v="Chair"/>
    <x v="1"/>
    <n v="4"/>
    <n v="1948"/>
    <n v="1422"/>
    <n v="526"/>
    <n v="0.27002053388090347"/>
    <x v="1"/>
    <x v="6"/>
  </r>
  <r>
    <n v="114"/>
    <x v="93"/>
    <s v="Customer_5"/>
    <s v="Phone"/>
    <x v="2"/>
    <n v="1"/>
    <n v="532"/>
    <n v="420"/>
    <n v="112"/>
    <n v="0.21052631578947367"/>
    <x v="0"/>
    <x v="10"/>
  </r>
  <r>
    <n v="115"/>
    <x v="28"/>
    <s v="Customer_25"/>
    <s v="Chair"/>
    <x v="1"/>
    <n v="6"/>
    <n v="8640"/>
    <n v="6998"/>
    <n v="1642"/>
    <n v="0.1900462962962963"/>
    <x v="1"/>
    <x v="5"/>
  </r>
  <r>
    <n v="116"/>
    <x v="94"/>
    <s v="Customer_5"/>
    <s v="Phone"/>
    <x v="2"/>
    <n v="9"/>
    <n v="8028"/>
    <n v="6663"/>
    <n v="1365"/>
    <n v="0.17002989536621824"/>
    <x v="2"/>
    <x v="8"/>
  </r>
  <r>
    <n v="117"/>
    <x v="95"/>
    <s v="Customer_12"/>
    <s v="Phone"/>
    <x v="2"/>
    <n v="1"/>
    <n v="408"/>
    <n v="338"/>
    <n v="70"/>
    <n v="0.17156862745098039"/>
    <x v="1"/>
    <x v="2"/>
  </r>
  <r>
    <n v="118"/>
    <x v="96"/>
    <s v="Customer_18"/>
    <s v="Phone"/>
    <x v="2"/>
    <n v="2"/>
    <n v="492"/>
    <n v="369"/>
    <n v="123"/>
    <n v="0.25"/>
    <x v="1"/>
    <x v="11"/>
  </r>
  <r>
    <n v="119"/>
    <x v="97"/>
    <s v="Customer_15"/>
    <s v="Shoes"/>
    <x v="0"/>
    <n v="3"/>
    <n v="5091"/>
    <n v="4123"/>
    <n v="968"/>
    <n v="0.19013946179532509"/>
    <x v="2"/>
    <x v="1"/>
  </r>
  <r>
    <n v="120"/>
    <x v="86"/>
    <s v="Customer_7"/>
    <s v="Shirt"/>
    <x v="0"/>
    <n v="8"/>
    <n v="13144"/>
    <n v="11172"/>
    <n v="1972"/>
    <n v="0.15003043213633596"/>
    <x v="1"/>
    <x v="7"/>
  </r>
  <r>
    <n v="121"/>
    <x v="13"/>
    <s v="Customer_9"/>
    <s v="Shoes"/>
    <x v="0"/>
    <n v="4"/>
    <n v="3560"/>
    <n v="2741"/>
    <n v="819"/>
    <n v="0.23005617977528089"/>
    <x v="1"/>
    <x v="6"/>
  </r>
  <r>
    <n v="122"/>
    <x v="98"/>
    <s v="Customer_26"/>
    <s v="Desk"/>
    <x v="1"/>
    <n v="4"/>
    <n v="4956"/>
    <n v="3221"/>
    <n v="1735"/>
    <n v="0.35008071025020177"/>
    <x v="0"/>
    <x v="9"/>
  </r>
  <r>
    <n v="123"/>
    <x v="99"/>
    <s v="Customer_12"/>
    <s v="Shirt"/>
    <x v="0"/>
    <n v="4"/>
    <n v="1652"/>
    <n v="1024"/>
    <n v="628"/>
    <n v="0.38014527845036322"/>
    <x v="3"/>
    <x v="1"/>
  </r>
  <r>
    <n v="124"/>
    <x v="23"/>
    <s v="Customer_39"/>
    <s v="Laptop"/>
    <x v="2"/>
    <n v="8"/>
    <n v="6168"/>
    <n v="4255"/>
    <n v="1913"/>
    <n v="0.31014915693904022"/>
    <x v="0"/>
    <x v="10"/>
  </r>
  <r>
    <n v="125"/>
    <x v="100"/>
    <s v="Customer_31"/>
    <s v="Desk"/>
    <x v="1"/>
    <n v="2"/>
    <n v="2966"/>
    <n v="1838"/>
    <n v="1128"/>
    <n v="0.38031018206338502"/>
    <x v="1"/>
    <x v="11"/>
  </r>
  <r>
    <n v="126"/>
    <x v="101"/>
    <s v="Customer_20"/>
    <s v="Headphones"/>
    <x v="2"/>
    <n v="3"/>
    <n v="2019"/>
    <n v="1271"/>
    <n v="748"/>
    <n v="0.37048043585933632"/>
    <x v="3"/>
    <x v="9"/>
  </r>
  <r>
    <n v="127"/>
    <x v="102"/>
    <s v="Customer_3"/>
    <s v="Chair"/>
    <x v="1"/>
    <n v="10"/>
    <n v="12890"/>
    <n v="9667"/>
    <n v="3223"/>
    <n v="0.2500387897595035"/>
    <x v="1"/>
    <x v="3"/>
  </r>
  <r>
    <n v="128"/>
    <x v="103"/>
    <s v="Customer_29"/>
    <s v="Shirt"/>
    <x v="0"/>
    <n v="9"/>
    <n v="1629"/>
    <n v="1238"/>
    <n v="391"/>
    <n v="0.24002455494168201"/>
    <x v="0"/>
    <x v="11"/>
  </r>
  <r>
    <n v="129"/>
    <x v="104"/>
    <s v="Customer_37"/>
    <s v="Desk"/>
    <x v="1"/>
    <n v="8"/>
    <n v="14040"/>
    <n v="8985"/>
    <n v="5055"/>
    <n v="0.36004273504273504"/>
    <x v="1"/>
    <x v="6"/>
  </r>
  <r>
    <n v="130"/>
    <x v="105"/>
    <s v="Customer_15"/>
    <s v="Shoes"/>
    <x v="0"/>
    <n v="7"/>
    <n v="6160"/>
    <n v="3942"/>
    <n v="2218"/>
    <n v="0.36006493506493509"/>
    <x v="0"/>
    <x v="5"/>
  </r>
  <r>
    <n v="131"/>
    <x v="83"/>
    <s v="Customer_18"/>
    <s v="Laptop"/>
    <x v="2"/>
    <n v="2"/>
    <n v="3652"/>
    <n v="2227"/>
    <n v="1425"/>
    <n v="0.39019715224534501"/>
    <x v="2"/>
    <x v="1"/>
  </r>
  <r>
    <n v="132"/>
    <x v="106"/>
    <s v="Customer_8"/>
    <s v="Shirt"/>
    <x v="0"/>
    <n v="8"/>
    <n v="2168"/>
    <n v="1192"/>
    <n v="976"/>
    <n v="0.45018450184501846"/>
    <x v="2"/>
    <x v="1"/>
  </r>
  <r>
    <n v="133"/>
    <x v="107"/>
    <s v="Customer_33"/>
    <s v="Shirt"/>
    <x v="0"/>
    <n v="3"/>
    <n v="1926"/>
    <n v="1174"/>
    <n v="752"/>
    <n v="0.39044652128764279"/>
    <x v="3"/>
    <x v="2"/>
  </r>
  <r>
    <n v="134"/>
    <x v="108"/>
    <s v="Customer_1"/>
    <s v="Desk"/>
    <x v="1"/>
    <n v="7"/>
    <n v="13930"/>
    <n v="7800"/>
    <n v="6130"/>
    <n v="0.44005743000717873"/>
    <x v="1"/>
    <x v="1"/>
  </r>
  <r>
    <n v="135"/>
    <x v="109"/>
    <s v="Customer_30"/>
    <s v="Headphones"/>
    <x v="2"/>
    <n v="1"/>
    <n v="725"/>
    <n v="398"/>
    <n v="327"/>
    <n v="0.45103448275862068"/>
    <x v="0"/>
    <x v="11"/>
  </r>
  <r>
    <n v="136"/>
    <x v="110"/>
    <s v="Customer_10"/>
    <s v="Jeans"/>
    <x v="0"/>
    <n v="10"/>
    <n v="6000"/>
    <n v="4560"/>
    <n v="1440"/>
    <n v="0.24"/>
    <x v="1"/>
    <x v="3"/>
  </r>
  <r>
    <n v="137"/>
    <x v="111"/>
    <s v="Customer_23"/>
    <s v="Laptop"/>
    <x v="2"/>
    <n v="1"/>
    <n v="1376"/>
    <n v="908"/>
    <n v="468"/>
    <n v="0.34011627906976744"/>
    <x v="1"/>
    <x v="6"/>
  </r>
  <r>
    <n v="138"/>
    <x v="112"/>
    <s v="Customer_18"/>
    <s v="Laptop"/>
    <x v="2"/>
    <n v="8"/>
    <n v="11008"/>
    <n v="8916"/>
    <n v="2092"/>
    <n v="0.1900436046511628"/>
    <x v="2"/>
    <x v="9"/>
  </r>
  <r>
    <n v="139"/>
    <x v="113"/>
    <s v="Customer_35"/>
    <s v="Laptop"/>
    <x v="2"/>
    <n v="1"/>
    <n v="1968"/>
    <n v="1298"/>
    <n v="670"/>
    <n v="0.34044715447154472"/>
    <x v="1"/>
    <x v="7"/>
  </r>
  <r>
    <n v="140"/>
    <x v="18"/>
    <s v="Customer_18"/>
    <s v="Chair"/>
    <x v="1"/>
    <n v="7"/>
    <n v="805"/>
    <n v="450"/>
    <n v="355"/>
    <n v="0.44099378881987578"/>
    <x v="2"/>
    <x v="1"/>
  </r>
  <r>
    <n v="141"/>
    <x v="104"/>
    <s v="Customer_6"/>
    <s v="Chair"/>
    <x v="1"/>
    <n v="7"/>
    <n v="2205"/>
    <n v="1234"/>
    <n v="971"/>
    <n v="0.4403628117913832"/>
    <x v="3"/>
    <x v="6"/>
  </r>
  <r>
    <n v="142"/>
    <x v="114"/>
    <s v="Customer_7"/>
    <s v="Desk"/>
    <x v="1"/>
    <n v="9"/>
    <n v="9576"/>
    <n v="6511"/>
    <n v="3065"/>
    <n v="0.32007101086048456"/>
    <x v="2"/>
    <x v="0"/>
  </r>
  <r>
    <n v="143"/>
    <x v="115"/>
    <s v="Customer_26"/>
    <s v="Chair"/>
    <x v="1"/>
    <n v="5"/>
    <n v="1540"/>
    <n v="908"/>
    <n v="632"/>
    <n v="0.41038961038961042"/>
    <x v="0"/>
    <x v="4"/>
  </r>
  <r>
    <n v="144"/>
    <x v="116"/>
    <s v="Customer_4"/>
    <s v="Desk"/>
    <x v="1"/>
    <n v="10"/>
    <n v="7110"/>
    <n v="4052"/>
    <n v="3058"/>
    <n v="0.43009845288326298"/>
    <x v="2"/>
    <x v="6"/>
  </r>
  <r>
    <n v="145"/>
    <x v="117"/>
    <s v="Customer_3"/>
    <s v="Shirt"/>
    <x v="0"/>
    <n v="10"/>
    <n v="12560"/>
    <n v="7536"/>
    <n v="5024"/>
    <n v="0.4"/>
    <x v="3"/>
    <x v="0"/>
  </r>
  <r>
    <n v="146"/>
    <x v="118"/>
    <s v="Customer_29"/>
    <s v="Chair"/>
    <x v="1"/>
    <n v="5"/>
    <n v="7920"/>
    <n v="6652"/>
    <n v="1268"/>
    <n v="0.1601010101010101"/>
    <x v="0"/>
    <x v="8"/>
  </r>
  <r>
    <n v="147"/>
    <x v="119"/>
    <s v="Customer_14"/>
    <s v="Chair"/>
    <x v="1"/>
    <n v="3"/>
    <n v="4749"/>
    <n v="3419"/>
    <n v="1330"/>
    <n v="0.28005895978100653"/>
    <x v="2"/>
    <x v="7"/>
  </r>
  <r>
    <n v="148"/>
    <x v="120"/>
    <s v="Customer_4"/>
    <s v="Headphones"/>
    <x v="2"/>
    <n v="1"/>
    <n v="669"/>
    <n v="508"/>
    <n v="161"/>
    <n v="0.24065769805680121"/>
    <x v="2"/>
    <x v="10"/>
  </r>
  <r>
    <n v="149"/>
    <x v="41"/>
    <s v="Customer_15"/>
    <s v="Shirt"/>
    <x v="0"/>
    <n v="9"/>
    <n v="4806"/>
    <n v="2787"/>
    <n v="2019"/>
    <n v="0.42009987515605496"/>
    <x v="0"/>
    <x v="5"/>
  </r>
  <r>
    <n v="150"/>
    <x v="121"/>
    <s v="Customer_25"/>
    <s v="Phone"/>
    <x v="2"/>
    <n v="1"/>
    <n v="897"/>
    <n v="511"/>
    <n v="386"/>
    <n v="0.43032329988851725"/>
    <x v="2"/>
    <x v="11"/>
  </r>
  <r>
    <n v="151"/>
    <x v="85"/>
    <s v="Customer_13"/>
    <s v="Chair"/>
    <x v="1"/>
    <n v="8"/>
    <n v="2224"/>
    <n v="1734"/>
    <n v="490"/>
    <n v="0.22032374100719423"/>
    <x v="0"/>
    <x v="1"/>
  </r>
  <r>
    <n v="152"/>
    <x v="122"/>
    <s v="Customer_15"/>
    <s v="Shoes"/>
    <x v="0"/>
    <n v="10"/>
    <n v="6580"/>
    <n v="4671"/>
    <n v="1909"/>
    <n v="0.29012158054711246"/>
    <x v="1"/>
    <x v="9"/>
  </r>
  <r>
    <n v="153"/>
    <x v="123"/>
    <s v="Customer_22"/>
    <s v="Jeans"/>
    <x v="0"/>
    <n v="6"/>
    <n v="2622"/>
    <n v="1861"/>
    <n v="761"/>
    <n v="0.29023646071700993"/>
    <x v="1"/>
    <x v="7"/>
  </r>
  <r>
    <n v="154"/>
    <x v="26"/>
    <s v="Customer_30"/>
    <s v="Chair"/>
    <x v="1"/>
    <n v="5"/>
    <n v="9695"/>
    <n v="7174"/>
    <n v="2521"/>
    <n v="0.26003094378545644"/>
    <x v="2"/>
    <x v="9"/>
  </r>
  <r>
    <n v="155"/>
    <x v="124"/>
    <s v="Customer_12"/>
    <s v="Shoes"/>
    <x v="0"/>
    <n v="4"/>
    <n v="4580"/>
    <n v="2977"/>
    <n v="1603"/>
    <n v="0.35"/>
    <x v="0"/>
    <x v="7"/>
  </r>
  <r>
    <n v="156"/>
    <x v="125"/>
    <s v="Customer_27"/>
    <s v="Chair"/>
    <x v="1"/>
    <n v="10"/>
    <n v="17020"/>
    <n v="12765"/>
    <n v="4255"/>
    <n v="0.25"/>
    <x v="1"/>
    <x v="3"/>
  </r>
  <r>
    <n v="157"/>
    <x v="126"/>
    <s v="Customer_31"/>
    <s v="Jeans"/>
    <x v="0"/>
    <n v="6"/>
    <n v="1692"/>
    <n v="1285"/>
    <n v="407"/>
    <n v="0.24054373522458627"/>
    <x v="1"/>
    <x v="9"/>
  </r>
  <r>
    <n v="158"/>
    <x v="93"/>
    <s v="Customer_17"/>
    <s v="Jeans"/>
    <x v="0"/>
    <n v="10"/>
    <n v="15090"/>
    <n v="11468"/>
    <n v="3622"/>
    <n v="0.24002650762094102"/>
    <x v="3"/>
    <x v="10"/>
  </r>
  <r>
    <n v="159"/>
    <x v="127"/>
    <s v="Customer_20"/>
    <s v="Headphones"/>
    <x v="2"/>
    <n v="3"/>
    <n v="2325"/>
    <n v="1976"/>
    <n v="349"/>
    <n v="0.15010752688172044"/>
    <x v="2"/>
    <x v="8"/>
  </r>
  <r>
    <n v="160"/>
    <x v="3"/>
    <s v="Customer_23"/>
    <s v="Shirt"/>
    <x v="0"/>
    <n v="1"/>
    <n v="1949"/>
    <n v="1422"/>
    <n v="527"/>
    <n v="0.27039507439712673"/>
    <x v="2"/>
    <x v="3"/>
  </r>
  <r>
    <n v="161"/>
    <x v="128"/>
    <s v="Customer_26"/>
    <s v="Laptop"/>
    <x v="2"/>
    <n v="7"/>
    <n v="4228"/>
    <n v="2367"/>
    <n v="1861"/>
    <n v="0.44016083254493849"/>
    <x v="0"/>
    <x v="1"/>
  </r>
  <r>
    <n v="162"/>
    <x v="129"/>
    <s v="Customer_25"/>
    <s v="Shirt"/>
    <x v="0"/>
    <n v="8"/>
    <n v="6968"/>
    <n v="4250"/>
    <n v="2718"/>
    <n v="0.39006888633754305"/>
    <x v="3"/>
    <x v="4"/>
  </r>
  <r>
    <n v="163"/>
    <x v="92"/>
    <s v="Customer_7"/>
    <s v="Headphones"/>
    <x v="2"/>
    <n v="10"/>
    <n v="18240"/>
    <n v="11673"/>
    <n v="6567"/>
    <n v="0.36003289473684208"/>
    <x v="0"/>
    <x v="6"/>
  </r>
  <r>
    <n v="164"/>
    <x v="12"/>
    <s v="Customer_7"/>
    <s v="Desk"/>
    <x v="1"/>
    <n v="10"/>
    <n v="12420"/>
    <n v="9811"/>
    <n v="2609"/>
    <n v="0.21006441223832528"/>
    <x v="3"/>
    <x v="5"/>
  </r>
  <r>
    <n v="165"/>
    <x v="130"/>
    <s v="Customer_34"/>
    <s v="Jeans"/>
    <x v="0"/>
    <n v="3"/>
    <n v="312"/>
    <n v="255"/>
    <n v="57"/>
    <n v="0.18269230769230768"/>
    <x v="3"/>
    <x v="11"/>
  </r>
  <r>
    <n v="166"/>
    <x v="23"/>
    <s v="Customer_29"/>
    <s v="Shirt"/>
    <x v="0"/>
    <n v="3"/>
    <n v="4734"/>
    <n v="3645"/>
    <n v="1089"/>
    <n v="0.23003802281368821"/>
    <x v="2"/>
    <x v="10"/>
  </r>
  <r>
    <n v="167"/>
    <x v="131"/>
    <s v="Customer_30"/>
    <s v="Phone"/>
    <x v="2"/>
    <n v="3"/>
    <n v="4455"/>
    <n v="3073"/>
    <n v="1382"/>
    <n v="0.31021324354657687"/>
    <x v="3"/>
    <x v="9"/>
  </r>
  <r>
    <n v="168"/>
    <x v="2"/>
    <s v="Customer_13"/>
    <s v="Headphones"/>
    <x v="2"/>
    <n v="2"/>
    <n v="1820"/>
    <n v="1001"/>
    <n v="819"/>
    <n v="0.45"/>
    <x v="1"/>
    <x v="2"/>
  </r>
  <r>
    <n v="169"/>
    <x v="132"/>
    <s v="Customer_2"/>
    <s v="Desk"/>
    <x v="1"/>
    <n v="5"/>
    <n v="6645"/>
    <n v="4917"/>
    <n v="1728"/>
    <n v="0.2600451467268623"/>
    <x v="1"/>
    <x v="6"/>
  </r>
  <r>
    <n v="170"/>
    <x v="133"/>
    <s v="Customer_23"/>
    <s v="Headphones"/>
    <x v="2"/>
    <n v="1"/>
    <n v="121"/>
    <n v="82"/>
    <n v="39"/>
    <n v="0.32231404958677684"/>
    <x v="0"/>
    <x v="5"/>
  </r>
  <r>
    <n v="171"/>
    <x v="126"/>
    <s v="Customer_30"/>
    <s v="Laptop"/>
    <x v="2"/>
    <n v="10"/>
    <n v="19480"/>
    <n v="11882"/>
    <n v="7598"/>
    <n v="0.39004106776180697"/>
    <x v="1"/>
    <x v="9"/>
  </r>
  <r>
    <n v="172"/>
    <x v="134"/>
    <s v="Customer_40"/>
    <s v="Jeans"/>
    <x v="0"/>
    <n v="4"/>
    <n v="1676"/>
    <n v="1139"/>
    <n v="537"/>
    <n v="0.3204057279236277"/>
    <x v="2"/>
    <x v="8"/>
  </r>
  <r>
    <n v="173"/>
    <x v="135"/>
    <s v="Customer_13"/>
    <s v="Desk"/>
    <x v="1"/>
    <n v="3"/>
    <n v="1101"/>
    <n v="924"/>
    <n v="177"/>
    <n v="0.16076294277929154"/>
    <x v="0"/>
    <x v="2"/>
  </r>
  <r>
    <n v="174"/>
    <x v="93"/>
    <s v="Customer_28"/>
    <s v="Chair"/>
    <x v="1"/>
    <n v="3"/>
    <n v="4173"/>
    <n v="2587"/>
    <n v="1586"/>
    <n v="0.38006230529595014"/>
    <x v="3"/>
    <x v="10"/>
  </r>
  <r>
    <n v="175"/>
    <x v="58"/>
    <s v="Customer_16"/>
    <s v="Laptop"/>
    <x v="2"/>
    <n v="7"/>
    <n v="7973"/>
    <n v="6059"/>
    <n v="1914"/>
    <n v="0.24006020318575191"/>
    <x v="1"/>
    <x v="5"/>
  </r>
  <r>
    <n v="176"/>
    <x v="136"/>
    <s v="Customer_38"/>
    <s v="Desk"/>
    <x v="1"/>
    <n v="10"/>
    <n v="4910"/>
    <n v="3584"/>
    <n v="1326"/>
    <n v="0.27006109979633403"/>
    <x v="0"/>
    <x v="6"/>
  </r>
  <r>
    <n v="177"/>
    <x v="137"/>
    <s v="Customer_30"/>
    <s v="Headphones"/>
    <x v="2"/>
    <n v="9"/>
    <n v="9207"/>
    <n v="7089"/>
    <n v="2118"/>
    <n v="0.23004235907461715"/>
    <x v="3"/>
    <x v="3"/>
  </r>
  <r>
    <n v="178"/>
    <x v="3"/>
    <s v="Customer_21"/>
    <s v="Jeans"/>
    <x v="0"/>
    <n v="6"/>
    <n v="3864"/>
    <n v="2241"/>
    <n v="1623"/>
    <n v="0.42003105590062112"/>
    <x v="3"/>
    <x v="3"/>
  </r>
  <r>
    <n v="179"/>
    <x v="40"/>
    <s v="Customer_10"/>
    <s v="Jeans"/>
    <x v="0"/>
    <n v="4"/>
    <n v="4664"/>
    <n v="2611"/>
    <n v="2053"/>
    <n v="0.440180102915952"/>
    <x v="2"/>
    <x v="7"/>
  </r>
  <r>
    <n v="180"/>
    <x v="53"/>
    <s v="Customer_9"/>
    <s v="Shoes"/>
    <x v="0"/>
    <n v="3"/>
    <n v="5202"/>
    <n v="4109"/>
    <n v="1093"/>
    <n v="0.2101114955786236"/>
    <x v="2"/>
    <x v="8"/>
  </r>
  <r>
    <n v="181"/>
    <x v="0"/>
    <s v="Customer_8"/>
    <s v="Desk"/>
    <x v="1"/>
    <n v="10"/>
    <n v="19870"/>
    <n v="16889"/>
    <n v="2981"/>
    <n v="0.15002516356316054"/>
    <x v="3"/>
    <x v="0"/>
  </r>
  <r>
    <n v="182"/>
    <x v="138"/>
    <s v="Customer_5"/>
    <s v="Phone"/>
    <x v="2"/>
    <n v="9"/>
    <n v="5499"/>
    <n v="3959"/>
    <n v="1540"/>
    <n v="0.2800509183487907"/>
    <x v="2"/>
    <x v="2"/>
  </r>
  <r>
    <n v="183"/>
    <x v="96"/>
    <s v="Customer_40"/>
    <s v="Headphones"/>
    <x v="2"/>
    <n v="6"/>
    <n v="8040"/>
    <n v="6512"/>
    <n v="1528"/>
    <n v="0.1900497512437811"/>
    <x v="3"/>
    <x v="11"/>
  </r>
  <r>
    <n v="184"/>
    <x v="107"/>
    <s v="Customer_4"/>
    <s v="Laptop"/>
    <x v="2"/>
    <n v="8"/>
    <n v="5328"/>
    <n v="3409"/>
    <n v="1919"/>
    <n v="0.36017267267267267"/>
    <x v="0"/>
    <x v="2"/>
  </r>
  <r>
    <n v="185"/>
    <x v="139"/>
    <s v="Customer_29"/>
    <s v="Shirt"/>
    <x v="0"/>
    <n v="4"/>
    <n v="7428"/>
    <n v="4159"/>
    <n v="3269"/>
    <n v="0.44009154550350027"/>
    <x v="1"/>
    <x v="0"/>
  </r>
  <r>
    <n v="186"/>
    <x v="32"/>
    <s v="Customer_13"/>
    <s v="Phone"/>
    <x v="2"/>
    <n v="4"/>
    <n v="4224"/>
    <n v="3505"/>
    <n v="719"/>
    <n v="0.17021780303030304"/>
    <x v="3"/>
    <x v="5"/>
  </r>
  <r>
    <n v="187"/>
    <x v="140"/>
    <s v="Customer_20"/>
    <s v="Desk"/>
    <x v="1"/>
    <n v="7"/>
    <n v="7392"/>
    <n v="5174"/>
    <n v="2218"/>
    <n v="0.30005411255411257"/>
    <x v="0"/>
    <x v="10"/>
  </r>
  <r>
    <n v="188"/>
    <x v="141"/>
    <s v="Customer_25"/>
    <s v="Shoes"/>
    <x v="0"/>
    <n v="9"/>
    <n v="15273"/>
    <n v="10691"/>
    <n v="4582"/>
    <n v="0.30000654750212796"/>
    <x v="0"/>
    <x v="3"/>
  </r>
  <r>
    <n v="189"/>
    <x v="44"/>
    <s v="Customer_31"/>
    <s v="Phone"/>
    <x v="2"/>
    <n v="5"/>
    <n v="2180"/>
    <n v="1853"/>
    <n v="327"/>
    <n v="0.15"/>
    <x v="0"/>
    <x v="3"/>
  </r>
  <r>
    <n v="190"/>
    <x v="65"/>
    <s v="Customer_26"/>
    <s v="Shirt"/>
    <x v="0"/>
    <n v="7"/>
    <n v="1463"/>
    <n v="1111"/>
    <n v="352"/>
    <n v="0.24060150375939848"/>
    <x v="0"/>
    <x v="8"/>
  </r>
  <r>
    <n v="191"/>
    <x v="128"/>
    <s v="Customer_36"/>
    <s v="Chair"/>
    <x v="1"/>
    <n v="8"/>
    <n v="2888"/>
    <n v="1848"/>
    <n v="1040"/>
    <n v="0.36011080332409973"/>
    <x v="0"/>
    <x v="1"/>
  </r>
  <r>
    <n v="192"/>
    <x v="68"/>
    <s v="Customer_18"/>
    <s v="Shirt"/>
    <x v="0"/>
    <n v="2"/>
    <n v="974"/>
    <n v="574"/>
    <n v="400"/>
    <n v="0.41067761806981518"/>
    <x v="0"/>
    <x v="0"/>
  </r>
  <r>
    <n v="193"/>
    <x v="142"/>
    <s v="Customer_18"/>
    <s v="Chair"/>
    <x v="1"/>
    <n v="4"/>
    <n v="6444"/>
    <n v="4704"/>
    <n v="1740"/>
    <n v="0.27001862197392923"/>
    <x v="3"/>
    <x v="6"/>
  </r>
  <r>
    <n v="194"/>
    <x v="143"/>
    <s v="Customer_7"/>
    <s v="Desk"/>
    <x v="1"/>
    <n v="2"/>
    <n v="3572"/>
    <n v="2214"/>
    <n v="1358"/>
    <n v="0.38017917133258677"/>
    <x v="0"/>
    <x v="11"/>
  </r>
  <r>
    <n v="195"/>
    <x v="122"/>
    <s v="Customer_24"/>
    <s v="Jeans"/>
    <x v="0"/>
    <n v="4"/>
    <n v="4048"/>
    <n v="2914"/>
    <n v="1134"/>
    <n v="0.28013833992094861"/>
    <x v="2"/>
    <x v="9"/>
  </r>
  <r>
    <n v="196"/>
    <x v="144"/>
    <s v="Customer_38"/>
    <s v="Shoes"/>
    <x v="0"/>
    <n v="9"/>
    <n v="2673"/>
    <n v="2084"/>
    <n v="589"/>
    <n v="0.22035166479610924"/>
    <x v="2"/>
    <x v="2"/>
  </r>
  <r>
    <n v="197"/>
    <x v="80"/>
    <s v="Customer_30"/>
    <s v="Desk"/>
    <x v="1"/>
    <n v="5"/>
    <n v="7820"/>
    <n v="5161"/>
    <n v="2659"/>
    <n v="0.34002557544757034"/>
    <x v="2"/>
    <x v="11"/>
  </r>
  <r>
    <n v="198"/>
    <x v="43"/>
    <s v="Customer_32"/>
    <s v="Laptop"/>
    <x v="2"/>
    <n v="6"/>
    <n v="7620"/>
    <n v="4495"/>
    <n v="3125"/>
    <n v="0.41010498687664043"/>
    <x v="1"/>
    <x v="3"/>
  </r>
  <r>
    <n v="199"/>
    <x v="145"/>
    <s v="Customer_2"/>
    <s v="Shoes"/>
    <x v="0"/>
    <n v="3"/>
    <n v="3357"/>
    <n v="2786"/>
    <n v="571"/>
    <n v="0.17009234435507894"/>
    <x v="0"/>
    <x v="2"/>
  </r>
  <r>
    <n v="200"/>
    <x v="146"/>
    <s v="Customer_13"/>
    <s v="Headphones"/>
    <x v="2"/>
    <n v="5"/>
    <n v="5605"/>
    <n v="4596"/>
    <n v="1009"/>
    <n v="0.1800178412132025"/>
    <x v="2"/>
    <x v="0"/>
  </r>
  <r>
    <n v="201"/>
    <x v="147"/>
    <s v="Customer_3"/>
    <s v="Phone"/>
    <x v="2"/>
    <n v="2"/>
    <n v="978"/>
    <n v="577"/>
    <n v="401"/>
    <n v="0.41002044989775049"/>
    <x v="2"/>
    <x v="11"/>
  </r>
  <r>
    <n v="202"/>
    <x v="148"/>
    <s v="Customer_11"/>
    <s v="Laptop"/>
    <x v="2"/>
    <n v="7"/>
    <n v="7798"/>
    <n v="5224"/>
    <n v="2574"/>
    <n v="0.33008463708643243"/>
    <x v="2"/>
    <x v="6"/>
  </r>
  <r>
    <n v="203"/>
    <x v="149"/>
    <s v="Customer_36"/>
    <s v="Headphones"/>
    <x v="2"/>
    <n v="9"/>
    <n v="8073"/>
    <n v="6054"/>
    <n v="2019"/>
    <n v="0.2500929022668153"/>
    <x v="3"/>
    <x v="7"/>
  </r>
  <r>
    <n v="204"/>
    <x v="13"/>
    <s v="Customer_30"/>
    <s v="Jeans"/>
    <x v="0"/>
    <n v="6"/>
    <n v="8148"/>
    <n v="6273"/>
    <n v="1875"/>
    <n v="0.23011782032400588"/>
    <x v="0"/>
    <x v="6"/>
  </r>
  <r>
    <n v="205"/>
    <x v="75"/>
    <s v="Customer_12"/>
    <s v="Chair"/>
    <x v="1"/>
    <n v="4"/>
    <n v="5388"/>
    <n v="4579"/>
    <n v="809"/>
    <n v="0.15014847809948031"/>
    <x v="0"/>
    <x v="3"/>
  </r>
  <r>
    <n v="206"/>
    <x v="34"/>
    <s v="Customer_12"/>
    <s v="Laptop"/>
    <x v="2"/>
    <n v="1"/>
    <n v="468"/>
    <n v="290"/>
    <n v="178"/>
    <n v="0.38034188034188032"/>
    <x v="2"/>
    <x v="9"/>
  </r>
  <r>
    <n v="207"/>
    <x v="64"/>
    <s v="Customer_22"/>
    <s v="Phone"/>
    <x v="2"/>
    <n v="5"/>
    <n v="4385"/>
    <n v="2455"/>
    <n v="1930"/>
    <n v="0.44013683010262256"/>
    <x v="0"/>
    <x v="6"/>
  </r>
  <r>
    <n v="208"/>
    <x v="123"/>
    <s v="Customer_10"/>
    <s v="Laptop"/>
    <x v="2"/>
    <n v="4"/>
    <n v="4844"/>
    <n v="3487"/>
    <n v="1357"/>
    <n v="0.28014037985136253"/>
    <x v="2"/>
    <x v="7"/>
  </r>
  <r>
    <n v="209"/>
    <x v="150"/>
    <s v="Customer_26"/>
    <s v="Desk"/>
    <x v="1"/>
    <n v="6"/>
    <n v="7236"/>
    <n v="4196"/>
    <n v="3040"/>
    <n v="0.42012161415146487"/>
    <x v="1"/>
    <x v="0"/>
  </r>
  <r>
    <n v="210"/>
    <x v="151"/>
    <s v="Customer_22"/>
    <s v="Headphones"/>
    <x v="2"/>
    <n v="7"/>
    <n v="13139"/>
    <n v="9328"/>
    <n v="3811"/>
    <n v="0.29005251541213184"/>
    <x v="0"/>
    <x v="0"/>
  </r>
  <r>
    <n v="211"/>
    <x v="152"/>
    <s v="Customer_29"/>
    <s v="Phone"/>
    <x v="2"/>
    <n v="9"/>
    <n v="7119"/>
    <n v="5766"/>
    <n v="1353"/>
    <n v="0.19005478297513695"/>
    <x v="3"/>
    <x v="4"/>
  </r>
  <r>
    <n v="212"/>
    <x v="89"/>
    <s v="Customer_27"/>
    <s v="Jeans"/>
    <x v="0"/>
    <n v="6"/>
    <n v="11040"/>
    <n v="9384"/>
    <n v="1656"/>
    <n v="0.15"/>
    <x v="0"/>
    <x v="10"/>
  </r>
  <r>
    <n v="213"/>
    <x v="153"/>
    <s v="Customer_37"/>
    <s v="Chair"/>
    <x v="1"/>
    <n v="7"/>
    <n v="924"/>
    <n v="554"/>
    <n v="370"/>
    <n v="0.40043290043290042"/>
    <x v="2"/>
    <x v="2"/>
  </r>
  <r>
    <n v="214"/>
    <x v="140"/>
    <s v="Customer_37"/>
    <s v="Chair"/>
    <x v="1"/>
    <n v="1"/>
    <n v="1988"/>
    <n v="1312"/>
    <n v="676"/>
    <n v="0.34004024144869216"/>
    <x v="3"/>
    <x v="10"/>
  </r>
  <r>
    <n v="215"/>
    <x v="154"/>
    <s v="Customer_5"/>
    <s v="Jeans"/>
    <x v="0"/>
    <n v="5"/>
    <n v="2985"/>
    <n v="2447"/>
    <n v="538"/>
    <n v="0.18023450586264655"/>
    <x v="3"/>
    <x v="4"/>
  </r>
  <r>
    <n v="216"/>
    <x v="2"/>
    <s v="Customer_19"/>
    <s v="Shirt"/>
    <x v="0"/>
    <n v="7"/>
    <n v="9471"/>
    <n v="5587"/>
    <n v="3884"/>
    <n v="0.41009397106958084"/>
    <x v="0"/>
    <x v="2"/>
  </r>
  <r>
    <n v="217"/>
    <x v="115"/>
    <s v="Customer_19"/>
    <s v="Phone"/>
    <x v="2"/>
    <n v="1"/>
    <n v="1346"/>
    <n v="1063"/>
    <n v="283"/>
    <n v="0.21025260029717682"/>
    <x v="2"/>
    <x v="4"/>
  </r>
  <r>
    <n v="218"/>
    <x v="11"/>
    <s v="Customer_12"/>
    <s v="Jeans"/>
    <x v="0"/>
    <n v="6"/>
    <n v="828"/>
    <n v="521"/>
    <n v="307"/>
    <n v="0.37077294685990336"/>
    <x v="3"/>
    <x v="2"/>
  </r>
  <r>
    <n v="219"/>
    <x v="155"/>
    <s v="Customer_27"/>
    <s v="Headphones"/>
    <x v="2"/>
    <n v="2"/>
    <n v="2576"/>
    <n v="1828"/>
    <n v="748"/>
    <n v="0.29037267080745344"/>
    <x v="1"/>
    <x v="0"/>
  </r>
  <r>
    <n v="220"/>
    <x v="35"/>
    <s v="Customer_15"/>
    <s v="Phone"/>
    <x v="2"/>
    <n v="3"/>
    <n v="2217"/>
    <n v="1596"/>
    <n v="621"/>
    <n v="0.28010825439783493"/>
    <x v="3"/>
    <x v="0"/>
  </r>
  <r>
    <n v="221"/>
    <x v="156"/>
    <s v="Customer_7"/>
    <s v="Headphones"/>
    <x v="2"/>
    <n v="4"/>
    <n v="7080"/>
    <n v="5522"/>
    <n v="1558"/>
    <n v="0.22005649717514125"/>
    <x v="0"/>
    <x v="3"/>
  </r>
  <r>
    <n v="222"/>
    <x v="157"/>
    <s v="Customer_35"/>
    <s v="Chair"/>
    <x v="1"/>
    <n v="4"/>
    <n v="5224"/>
    <n v="3395"/>
    <n v="1829"/>
    <n v="0.35011485451761104"/>
    <x v="3"/>
    <x v="5"/>
  </r>
  <r>
    <n v="223"/>
    <x v="158"/>
    <s v="Customer_36"/>
    <s v="Phone"/>
    <x v="2"/>
    <n v="3"/>
    <n v="3531"/>
    <n v="3001"/>
    <n v="530"/>
    <n v="0.15009912206173889"/>
    <x v="2"/>
    <x v="7"/>
  </r>
  <r>
    <n v="224"/>
    <x v="159"/>
    <s v="Customer_38"/>
    <s v="Jeans"/>
    <x v="0"/>
    <n v="6"/>
    <n v="1398"/>
    <n v="768"/>
    <n v="630"/>
    <n v="0.45064377682403434"/>
    <x v="1"/>
    <x v="1"/>
  </r>
  <r>
    <n v="225"/>
    <x v="160"/>
    <s v="Customer_14"/>
    <s v="Shirt"/>
    <x v="0"/>
    <n v="3"/>
    <n v="5829"/>
    <n v="4138"/>
    <n v="1691"/>
    <n v="0.29010121804769257"/>
    <x v="0"/>
    <x v="0"/>
  </r>
  <r>
    <n v="226"/>
    <x v="161"/>
    <s v="Customer_23"/>
    <s v="Jeans"/>
    <x v="0"/>
    <n v="9"/>
    <n v="8793"/>
    <n v="5979"/>
    <n v="2814"/>
    <n v="0.3200272944387581"/>
    <x v="2"/>
    <x v="9"/>
  </r>
  <r>
    <n v="227"/>
    <x v="162"/>
    <s v="Customer_27"/>
    <s v="Jeans"/>
    <x v="0"/>
    <n v="4"/>
    <n v="6540"/>
    <n v="5166"/>
    <n v="1374"/>
    <n v="0.21009174311926607"/>
    <x v="1"/>
    <x v="2"/>
  </r>
  <r>
    <n v="228"/>
    <x v="145"/>
    <s v="Customer_12"/>
    <s v="Phone"/>
    <x v="2"/>
    <n v="2"/>
    <n v="2022"/>
    <n v="1233"/>
    <n v="789"/>
    <n v="0.39020771513353114"/>
    <x v="2"/>
    <x v="2"/>
  </r>
  <r>
    <n v="229"/>
    <x v="28"/>
    <s v="Customer_3"/>
    <s v="Headphones"/>
    <x v="2"/>
    <n v="5"/>
    <n v="7705"/>
    <n v="6472"/>
    <n v="1233"/>
    <n v="0.16002595717066839"/>
    <x v="3"/>
    <x v="5"/>
  </r>
  <r>
    <n v="230"/>
    <x v="163"/>
    <s v="Customer_19"/>
    <s v="Desk"/>
    <x v="1"/>
    <n v="1"/>
    <n v="1973"/>
    <n v="1085"/>
    <n v="888"/>
    <n v="0.45007602635580335"/>
    <x v="2"/>
    <x v="10"/>
  </r>
  <r>
    <n v="231"/>
    <x v="45"/>
    <s v="Customer_29"/>
    <s v="Chair"/>
    <x v="1"/>
    <n v="9"/>
    <n v="9747"/>
    <n v="7602"/>
    <n v="2145"/>
    <n v="0.22006771314250539"/>
    <x v="0"/>
    <x v="2"/>
  </r>
  <r>
    <n v="232"/>
    <x v="60"/>
    <s v="Customer_28"/>
    <s v="Chair"/>
    <x v="1"/>
    <n v="9"/>
    <n v="2349"/>
    <n v="1926"/>
    <n v="423"/>
    <n v="0.18007662835249041"/>
    <x v="3"/>
    <x v="4"/>
  </r>
  <r>
    <n v="233"/>
    <x v="164"/>
    <s v="Customer_33"/>
    <s v="Shoes"/>
    <x v="0"/>
    <n v="10"/>
    <n v="14190"/>
    <n v="10074"/>
    <n v="4116"/>
    <n v="0.29006342494714588"/>
    <x v="2"/>
    <x v="9"/>
  </r>
  <r>
    <n v="234"/>
    <x v="165"/>
    <s v="Customer_24"/>
    <s v="Shirt"/>
    <x v="0"/>
    <n v="9"/>
    <n v="12978"/>
    <n v="7267"/>
    <n v="5711"/>
    <n v="0.44005239636307597"/>
    <x v="0"/>
    <x v="3"/>
  </r>
  <r>
    <n v="235"/>
    <x v="109"/>
    <s v="Customer_15"/>
    <s v="Phone"/>
    <x v="2"/>
    <n v="4"/>
    <n v="1844"/>
    <n v="1567"/>
    <n v="277"/>
    <n v="0.15021691973969631"/>
    <x v="3"/>
    <x v="11"/>
  </r>
  <r>
    <n v="236"/>
    <x v="166"/>
    <s v="Customer_17"/>
    <s v="Shoes"/>
    <x v="0"/>
    <n v="4"/>
    <n v="3592"/>
    <n v="2658"/>
    <n v="934"/>
    <n v="0.26002227171492204"/>
    <x v="1"/>
    <x v="11"/>
  </r>
  <r>
    <n v="237"/>
    <x v="167"/>
    <s v="Customer_2"/>
    <s v="Headphones"/>
    <x v="2"/>
    <n v="3"/>
    <n v="1458"/>
    <n v="1064"/>
    <n v="394"/>
    <n v="0.27023319615912206"/>
    <x v="3"/>
    <x v="9"/>
  </r>
  <r>
    <n v="238"/>
    <x v="137"/>
    <s v="Customer_24"/>
    <s v="Shoes"/>
    <x v="0"/>
    <n v="4"/>
    <n v="4388"/>
    <n v="3378"/>
    <n v="1010"/>
    <n v="0.2301731996353692"/>
    <x v="2"/>
    <x v="3"/>
  </r>
  <r>
    <n v="239"/>
    <x v="57"/>
    <s v="Customer_4"/>
    <s v="Headphones"/>
    <x v="2"/>
    <n v="2"/>
    <n v="2246"/>
    <n v="1864"/>
    <n v="382"/>
    <n v="0.17008014247551201"/>
    <x v="1"/>
    <x v="7"/>
  </r>
  <r>
    <n v="240"/>
    <x v="168"/>
    <s v="Customer_31"/>
    <s v="Shirt"/>
    <x v="0"/>
    <n v="5"/>
    <n v="4580"/>
    <n v="3389"/>
    <n v="1191"/>
    <n v="0.26004366812227075"/>
    <x v="3"/>
    <x v="4"/>
  </r>
  <r>
    <n v="241"/>
    <x v="169"/>
    <s v="Customer_27"/>
    <s v="Jeans"/>
    <x v="0"/>
    <n v="3"/>
    <n v="636"/>
    <n v="470"/>
    <n v="166"/>
    <n v="0.2610062893081761"/>
    <x v="0"/>
    <x v="11"/>
  </r>
  <r>
    <n v="242"/>
    <x v="12"/>
    <s v="Customer_35"/>
    <s v="Laptop"/>
    <x v="2"/>
    <n v="9"/>
    <n v="8397"/>
    <n v="5206"/>
    <n v="3191"/>
    <n v="0.38001667262117422"/>
    <x v="3"/>
    <x v="5"/>
  </r>
  <r>
    <n v="243"/>
    <x v="170"/>
    <s v="Customer_38"/>
    <s v="Headphones"/>
    <x v="2"/>
    <n v="6"/>
    <n v="9018"/>
    <n v="5591"/>
    <n v="3427"/>
    <n v="0.38001774229319141"/>
    <x v="2"/>
    <x v="7"/>
  </r>
  <r>
    <n v="244"/>
    <x v="155"/>
    <s v="Customer_31"/>
    <s v="Desk"/>
    <x v="1"/>
    <n v="10"/>
    <n v="14640"/>
    <n v="11126"/>
    <n v="3514"/>
    <n v="0.24002732240437158"/>
    <x v="2"/>
    <x v="0"/>
  </r>
  <r>
    <n v="245"/>
    <x v="171"/>
    <s v="Customer_32"/>
    <s v="Laptop"/>
    <x v="2"/>
    <n v="9"/>
    <n v="1665"/>
    <n v="1032"/>
    <n v="633"/>
    <n v="0.38018018018018018"/>
    <x v="1"/>
    <x v="1"/>
  </r>
  <r>
    <n v="246"/>
    <x v="172"/>
    <s v="Customer_37"/>
    <s v="Chair"/>
    <x v="1"/>
    <n v="5"/>
    <n v="2810"/>
    <n v="2079"/>
    <n v="731"/>
    <n v="0.26014234875444842"/>
    <x v="0"/>
    <x v="6"/>
  </r>
  <r>
    <n v="247"/>
    <x v="30"/>
    <s v="Customer_28"/>
    <s v="Jeans"/>
    <x v="0"/>
    <n v="2"/>
    <n v="3984"/>
    <n v="2470"/>
    <n v="1514"/>
    <n v="0.38002008032128515"/>
    <x v="3"/>
    <x v="5"/>
  </r>
  <r>
    <n v="248"/>
    <x v="173"/>
    <s v="Customer_16"/>
    <s v="Jeans"/>
    <x v="0"/>
    <n v="2"/>
    <n v="1512"/>
    <n v="1118"/>
    <n v="394"/>
    <n v="0.26058201058201058"/>
    <x v="2"/>
    <x v="8"/>
  </r>
  <r>
    <n v="249"/>
    <x v="79"/>
    <s v="Customer_4"/>
    <s v="Chair"/>
    <x v="1"/>
    <n v="4"/>
    <n v="4728"/>
    <n v="3120"/>
    <n v="1608"/>
    <n v="0.34010152284263961"/>
    <x v="0"/>
    <x v="5"/>
  </r>
  <r>
    <n v="250"/>
    <x v="174"/>
    <s v="Customer_14"/>
    <s v="Shoes"/>
    <x v="0"/>
    <n v="6"/>
    <n v="11514"/>
    <n v="7368"/>
    <n v="4146"/>
    <n v="0.36008337675872848"/>
    <x v="2"/>
    <x v="2"/>
  </r>
  <r>
    <n v="251"/>
    <x v="175"/>
    <s v="Customer_14"/>
    <s v="Shoes"/>
    <x v="0"/>
    <n v="10"/>
    <n v="6430"/>
    <n v="4243"/>
    <n v="2187"/>
    <n v="0.34012441679626748"/>
    <x v="2"/>
    <x v="5"/>
  </r>
  <r>
    <n v="252"/>
    <x v="176"/>
    <s v="Customer_19"/>
    <s v="Laptop"/>
    <x v="2"/>
    <n v="1"/>
    <n v="833"/>
    <n v="583"/>
    <n v="250"/>
    <n v="0.30012004801920766"/>
    <x v="1"/>
    <x v="8"/>
  </r>
  <r>
    <n v="253"/>
    <x v="177"/>
    <s v="Customer_34"/>
    <s v="Chair"/>
    <x v="1"/>
    <n v="4"/>
    <n v="4876"/>
    <n v="3510"/>
    <n v="1366"/>
    <n v="0.28014766201804758"/>
    <x v="0"/>
    <x v="3"/>
  </r>
  <r>
    <n v="254"/>
    <x v="18"/>
    <s v="Customer_12"/>
    <s v="Desk"/>
    <x v="1"/>
    <n v="5"/>
    <n v="6005"/>
    <n v="3422"/>
    <n v="2583"/>
    <n v="0.43014154870940885"/>
    <x v="1"/>
    <x v="1"/>
  </r>
  <r>
    <n v="255"/>
    <x v="28"/>
    <s v="Customer_37"/>
    <s v="Laptop"/>
    <x v="2"/>
    <n v="2"/>
    <n v="1064"/>
    <n v="734"/>
    <n v="330"/>
    <n v="0.31015037593984962"/>
    <x v="1"/>
    <x v="5"/>
  </r>
  <r>
    <n v="256"/>
    <x v="81"/>
    <s v="Customer_22"/>
    <s v="Shoes"/>
    <x v="0"/>
    <n v="3"/>
    <n v="2565"/>
    <n v="1564"/>
    <n v="1001"/>
    <n v="0.39025341130604291"/>
    <x v="2"/>
    <x v="9"/>
  </r>
  <r>
    <n v="257"/>
    <x v="3"/>
    <s v="Customer_15"/>
    <s v="Headphones"/>
    <x v="2"/>
    <n v="1"/>
    <n v="1872"/>
    <n v="1048"/>
    <n v="824"/>
    <n v="0.44017094017094016"/>
    <x v="0"/>
    <x v="3"/>
  </r>
  <r>
    <n v="258"/>
    <x v="178"/>
    <s v="Customer_5"/>
    <s v="Shoes"/>
    <x v="0"/>
    <n v="10"/>
    <n v="16650"/>
    <n v="12654"/>
    <n v="3996"/>
    <n v="0.24"/>
    <x v="2"/>
    <x v="6"/>
  </r>
  <r>
    <n v="259"/>
    <x v="179"/>
    <s v="Customer_40"/>
    <s v="Jeans"/>
    <x v="0"/>
    <n v="2"/>
    <n v="3666"/>
    <n v="2749"/>
    <n v="917"/>
    <n v="0.25013638843426078"/>
    <x v="2"/>
    <x v="8"/>
  </r>
  <r>
    <n v="260"/>
    <x v="180"/>
    <s v="Customer_4"/>
    <s v="Shirt"/>
    <x v="0"/>
    <n v="7"/>
    <n v="10850"/>
    <n v="6184"/>
    <n v="4666"/>
    <n v="0.43004608294930874"/>
    <x v="3"/>
    <x v="3"/>
  </r>
  <r>
    <n v="261"/>
    <x v="114"/>
    <s v="Customer_12"/>
    <s v="Chair"/>
    <x v="1"/>
    <n v="8"/>
    <n v="12272"/>
    <n v="7485"/>
    <n v="4787"/>
    <n v="0.39007496740547587"/>
    <x v="2"/>
    <x v="0"/>
  </r>
  <r>
    <n v="262"/>
    <x v="181"/>
    <s v="Customer_1"/>
    <s v="Jeans"/>
    <x v="0"/>
    <n v="10"/>
    <n v="11930"/>
    <n v="9066"/>
    <n v="2864"/>
    <n v="0.24006705783738475"/>
    <x v="3"/>
    <x v="4"/>
  </r>
  <r>
    <n v="263"/>
    <x v="182"/>
    <s v="Customer_13"/>
    <s v="Jeans"/>
    <x v="0"/>
    <n v="9"/>
    <n v="2475"/>
    <n v="1757"/>
    <n v="718"/>
    <n v="0.29010101010101008"/>
    <x v="2"/>
    <x v="0"/>
  </r>
  <r>
    <n v="264"/>
    <x v="49"/>
    <s v="Customer_27"/>
    <s v="Chair"/>
    <x v="1"/>
    <n v="3"/>
    <n v="1005"/>
    <n v="854"/>
    <n v="151"/>
    <n v="0.15024875621890546"/>
    <x v="3"/>
    <x v="0"/>
  </r>
  <r>
    <n v="265"/>
    <x v="151"/>
    <s v="Customer_35"/>
    <s v="Chair"/>
    <x v="1"/>
    <n v="7"/>
    <n v="13720"/>
    <n v="10701"/>
    <n v="3019"/>
    <n v="0.22004373177842565"/>
    <x v="3"/>
    <x v="0"/>
  </r>
  <r>
    <n v="266"/>
    <x v="25"/>
    <s v="Customer_2"/>
    <s v="Desk"/>
    <x v="1"/>
    <n v="2"/>
    <n v="1890"/>
    <n v="1455"/>
    <n v="435"/>
    <n v="0.23015873015873015"/>
    <x v="1"/>
    <x v="8"/>
  </r>
  <r>
    <n v="267"/>
    <x v="183"/>
    <s v="Customer_29"/>
    <s v="Shirt"/>
    <x v="0"/>
    <n v="10"/>
    <n v="1480"/>
    <n v="1213"/>
    <n v="267"/>
    <n v="0.18040540540540539"/>
    <x v="1"/>
    <x v="7"/>
  </r>
  <r>
    <n v="268"/>
    <x v="184"/>
    <s v="Customer_27"/>
    <s v="Chair"/>
    <x v="1"/>
    <n v="7"/>
    <n v="6279"/>
    <n v="4458"/>
    <n v="1821"/>
    <n v="0.29001433349259437"/>
    <x v="0"/>
    <x v="11"/>
  </r>
  <r>
    <n v="269"/>
    <x v="94"/>
    <s v="Customer_26"/>
    <s v="Shirt"/>
    <x v="0"/>
    <n v="10"/>
    <n v="3270"/>
    <n v="1896"/>
    <n v="1374"/>
    <n v="0.42018348623853213"/>
    <x v="3"/>
    <x v="8"/>
  </r>
  <r>
    <n v="270"/>
    <x v="185"/>
    <s v="Customer_31"/>
    <s v="Shirt"/>
    <x v="0"/>
    <n v="6"/>
    <n v="6228"/>
    <n v="3736"/>
    <n v="2492"/>
    <n v="0.40012845215157355"/>
    <x v="2"/>
    <x v="1"/>
  </r>
  <r>
    <n v="271"/>
    <x v="147"/>
    <s v="Customer_17"/>
    <s v="Desk"/>
    <x v="1"/>
    <n v="8"/>
    <n v="1336"/>
    <n v="988"/>
    <n v="348"/>
    <n v="0.26047904191616766"/>
    <x v="3"/>
    <x v="11"/>
  </r>
  <r>
    <n v="272"/>
    <x v="68"/>
    <s v="Customer_4"/>
    <s v="Phone"/>
    <x v="2"/>
    <n v="8"/>
    <n v="6624"/>
    <n v="4371"/>
    <n v="2253"/>
    <n v="0.34012681159420288"/>
    <x v="3"/>
    <x v="0"/>
  </r>
  <r>
    <n v="273"/>
    <x v="91"/>
    <s v="Customer_36"/>
    <s v="Chair"/>
    <x v="1"/>
    <n v="1"/>
    <n v="1954"/>
    <n v="1465"/>
    <n v="489"/>
    <n v="0.25025588536335719"/>
    <x v="0"/>
    <x v="3"/>
  </r>
  <r>
    <n v="274"/>
    <x v="186"/>
    <s v="Customer_7"/>
    <s v="Jeans"/>
    <x v="0"/>
    <n v="9"/>
    <n v="6066"/>
    <n v="4610"/>
    <n v="1456"/>
    <n v="0.24002637652489284"/>
    <x v="0"/>
    <x v="6"/>
  </r>
  <r>
    <n v="275"/>
    <x v="85"/>
    <s v="Customer_26"/>
    <s v="Shoes"/>
    <x v="0"/>
    <n v="2"/>
    <n v="3160"/>
    <n v="2370"/>
    <n v="790"/>
    <n v="0.25"/>
    <x v="2"/>
    <x v="1"/>
  </r>
  <r>
    <n v="276"/>
    <x v="180"/>
    <s v="Customer_3"/>
    <s v="Desk"/>
    <x v="1"/>
    <n v="3"/>
    <n v="2736"/>
    <n v="2134"/>
    <n v="602"/>
    <n v="0.22002923976608188"/>
    <x v="3"/>
    <x v="3"/>
  </r>
  <r>
    <n v="277"/>
    <x v="85"/>
    <s v="Customer_11"/>
    <s v="Phone"/>
    <x v="2"/>
    <n v="5"/>
    <n v="6195"/>
    <n v="5017"/>
    <n v="1178"/>
    <n v="0.19015334947538337"/>
    <x v="3"/>
    <x v="1"/>
  </r>
  <r>
    <n v="278"/>
    <x v="171"/>
    <s v="Customer_10"/>
    <s v="Shirt"/>
    <x v="0"/>
    <n v="10"/>
    <n v="17010"/>
    <n v="10206"/>
    <n v="6804"/>
    <n v="0.4"/>
    <x v="1"/>
    <x v="1"/>
  </r>
  <r>
    <n v="279"/>
    <x v="84"/>
    <s v="Customer_30"/>
    <s v="Laptop"/>
    <x v="2"/>
    <n v="9"/>
    <n v="14166"/>
    <n v="11757"/>
    <n v="2409"/>
    <n v="0.17005506141465482"/>
    <x v="0"/>
    <x v="7"/>
  </r>
  <r>
    <n v="280"/>
    <x v="90"/>
    <s v="Customer_29"/>
    <s v="Headphones"/>
    <x v="2"/>
    <n v="6"/>
    <n v="2400"/>
    <n v="1848"/>
    <n v="552"/>
    <n v="0.23"/>
    <x v="2"/>
    <x v="1"/>
  </r>
  <r>
    <n v="281"/>
    <x v="52"/>
    <s v="Customer_5"/>
    <s v="Desk"/>
    <x v="1"/>
    <n v="1"/>
    <n v="1014"/>
    <n v="648"/>
    <n v="366"/>
    <n v="0.36094674556213019"/>
    <x v="1"/>
    <x v="4"/>
  </r>
  <r>
    <n v="282"/>
    <x v="63"/>
    <s v="Customer_20"/>
    <s v="Desk"/>
    <x v="1"/>
    <n v="5"/>
    <n v="3545"/>
    <n v="2446"/>
    <n v="1099"/>
    <n v="0.31001410437235544"/>
    <x v="3"/>
    <x v="11"/>
  </r>
  <r>
    <n v="283"/>
    <x v="187"/>
    <s v="Customer_35"/>
    <s v="Shoes"/>
    <x v="0"/>
    <n v="7"/>
    <n v="4998"/>
    <n v="2798"/>
    <n v="2200"/>
    <n v="0.44017607042817125"/>
    <x v="3"/>
    <x v="0"/>
  </r>
  <r>
    <n v="284"/>
    <x v="188"/>
    <s v="Customer_32"/>
    <s v="Jeans"/>
    <x v="0"/>
    <n v="10"/>
    <n v="10840"/>
    <n v="6720"/>
    <n v="4120"/>
    <n v="0.38007380073800739"/>
    <x v="0"/>
    <x v="1"/>
  </r>
  <r>
    <n v="285"/>
    <x v="51"/>
    <s v="Customer_2"/>
    <s v="Desk"/>
    <x v="1"/>
    <n v="9"/>
    <n v="3087"/>
    <n v="1883"/>
    <n v="1204"/>
    <n v="0.39002267573696148"/>
    <x v="1"/>
    <x v="10"/>
  </r>
  <r>
    <n v="286"/>
    <x v="189"/>
    <s v="Customer_39"/>
    <s v="Shoes"/>
    <x v="0"/>
    <n v="7"/>
    <n v="3129"/>
    <n v="2659"/>
    <n v="470"/>
    <n v="0.15020773410035154"/>
    <x v="1"/>
    <x v="9"/>
  </r>
  <r>
    <n v="287"/>
    <x v="190"/>
    <s v="Customer_22"/>
    <s v="Jeans"/>
    <x v="0"/>
    <n v="10"/>
    <n v="17490"/>
    <n v="11893"/>
    <n v="5597"/>
    <n v="0.32001143510577473"/>
    <x v="3"/>
    <x v="5"/>
  </r>
  <r>
    <n v="288"/>
    <x v="191"/>
    <s v="Customer_39"/>
    <s v="Headphones"/>
    <x v="2"/>
    <n v="3"/>
    <n v="3975"/>
    <n v="2226"/>
    <n v="1749"/>
    <n v="0.44"/>
    <x v="2"/>
    <x v="10"/>
  </r>
  <r>
    <n v="289"/>
    <x v="90"/>
    <s v="Customer_26"/>
    <s v="Desk"/>
    <x v="1"/>
    <n v="7"/>
    <n v="10402"/>
    <n v="6553"/>
    <n v="3849"/>
    <n v="0.37002499519323206"/>
    <x v="0"/>
    <x v="1"/>
  </r>
  <r>
    <n v="290"/>
    <x v="45"/>
    <s v="Customer_11"/>
    <s v="Desk"/>
    <x v="1"/>
    <n v="10"/>
    <n v="15580"/>
    <n v="10750"/>
    <n v="4830"/>
    <n v="0.31001283697047499"/>
    <x v="2"/>
    <x v="2"/>
  </r>
  <r>
    <n v="291"/>
    <x v="37"/>
    <s v="Customer_5"/>
    <s v="Desk"/>
    <x v="1"/>
    <n v="5"/>
    <n v="5415"/>
    <n v="3140"/>
    <n v="2275"/>
    <n v="0.420129270544783"/>
    <x v="0"/>
    <x v="2"/>
  </r>
  <r>
    <n v="292"/>
    <x v="117"/>
    <s v="Customer_40"/>
    <s v="Desk"/>
    <x v="1"/>
    <n v="9"/>
    <n v="16488"/>
    <n v="12201"/>
    <n v="4287"/>
    <n v="0.26000727802037843"/>
    <x v="0"/>
    <x v="0"/>
  </r>
  <r>
    <n v="293"/>
    <x v="192"/>
    <s v="Customer_15"/>
    <s v="Jeans"/>
    <x v="0"/>
    <n v="1"/>
    <n v="1893"/>
    <n v="1476"/>
    <n v="417"/>
    <n v="0.2202852614896989"/>
    <x v="0"/>
    <x v="7"/>
  </r>
  <r>
    <n v="294"/>
    <x v="193"/>
    <s v="Customer_6"/>
    <s v="Shoes"/>
    <x v="0"/>
    <n v="5"/>
    <n v="2270"/>
    <n v="1906"/>
    <n v="364"/>
    <n v="0.160352422907489"/>
    <x v="2"/>
    <x v="6"/>
  </r>
  <r>
    <n v="295"/>
    <x v="194"/>
    <s v="Customer_13"/>
    <s v="Headphones"/>
    <x v="2"/>
    <n v="10"/>
    <n v="16550"/>
    <n v="12578"/>
    <n v="3972"/>
    <n v="0.24"/>
    <x v="0"/>
    <x v="11"/>
  </r>
  <r>
    <n v="296"/>
    <x v="54"/>
    <s v="Customer_17"/>
    <s v="Chair"/>
    <x v="1"/>
    <n v="2"/>
    <n v="1518"/>
    <n v="941"/>
    <n v="577"/>
    <n v="0.38010540184453229"/>
    <x v="2"/>
    <x v="4"/>
  </r>
  <r>
    <n v="297"/>
    <x v="26"/>
    <s v="Customer_26"/>
    <s v="Chair"/>
    <x v="1"/>
    <n v="5"/>
    <n v="1630"/>
    <n v="1026"/>
    <n v="604"/>
    <n v="0.37055214723926383"/>
    <x v="3"/>
    <x v="9"/>
  </r>
  <r>
    <n v="298"/>
    <x v="85"/>
    <s v="Customer_14"/>
    <s v="Phone"/>
    <x v="2"/>
    <n v="7"/>
    <n v="9415"/>
    <n v="6025"/>
    <n v="3390"/>
    <n v="0.36006372809346787"/>
    <x v="0"/>
    <x v="1"/>
  </r>
  <r>
    <n v="299"/>
    <x v="195"/>
    <s v="Customer_29"/>
    <s v="Shoes"/>
    <x v="0"/>
    <n v="8"/>
    <n v="2184"/>
    <n v="1703"/>
    <n v="481"/>
    <n v="0.22023809523809523"/>
    <x v="2"/>
    <x v="3"/>
  </r>
  <r>
    <n v="300"/>
    <x v="196"/>
    <s v="Customer_9"/>
    <s v="Shoes"/>
    <x v="0"/>
    <n v="3"/>
    <n v="3111"/>
    <n v="2053"/>
    <n v="1058"/>
    <n v="0.34008357441337189"/>
    <x v="0"/>
    <x v="1"/>
  </r>
</pivotCacheRecords>
</file>

<file path=xl/pivotCache/pivotCacheRecords3.xml><?xml version="1.0" encoding="utf-8"?>
<pivotCacheRecords xmlns="http://schemas.openxmlformats.org/spreadsheetml/2006/main" xmlns:r="http://schemas.openxmlformats.org/officeDocument/2006/relationships" count="301">
  <r>
    <n v="1"/>
    <d v="2025-02-23T00:00:00"/>
    <s v="Customer_16"/>
    <s v="Jeans"/>
    <s v="Clothing"/>
    <n v="5"/>
    <n v="720"/>
    <n v="439"/>
    <n v="281"/>
    <n v="0.39027777777777778"/>
    <x v="0"/>
  </r>
  <r>
    <n v="2"/>
    <d v="2025-07-28T00:00:00"/>
    <s v="Customer_5"/>
    <s v="Chair"/>
    <s v="Furniture"/>
    <n v="3"/>
    <n v="5367"/>
    <n v="3220"/>
    <n v="2147"/>
    <n v="0.40003726476616358"/>
    <x v="1"/>
  </r>
  <r>
    <n v="3"/>
    <d v="2025-05-10T00:00:00"/>
    <s v="Customer_36"/>
    <s v="Chair"/>
    <s v="Furniture"/>
    <n v="9"/>
    <n v="13977"/>
    <n v="9364"/>
    <n v="4613"/>
    <n v="0.33004221220576663"/>
    <x v="2"/>
  </r>
  <r>
    <n v="4"/>
    <d v="2025-03-02T00:00:00"/>
    <s v="Customer_4"/>
    <s v="Shoes"/>
    <s v="Clothing"/>
    <n v="3"/>
    <n v="4197"/>
    <n v="3147"/>
    <n v="1050"/>
    <n v="0.25017869907076484"/>
    <x v="3"/>
  </r>
  <r>
    <n v="5"/>
    <d v="2025-08-09T00:00:00"/>
    <s v="Customer_8"/>
    <s v="Headphones"/>
    <s v="Electronics"/>
    <n v="3"/>
    <n v="4494"/>
    <n v="2966"/>
    <n v="1528"/>
    <n v="0.34000890075656431"/>
    <x v="1"/>
  </r>
  <r>
    <n v="6"/>
    <d v="2025-03-29T00:00:00"/>
    <s v="Customer_24"/>
    <s v="Headphones"/>
    <s v="Electronics"/>
    <n v="8"/>
    <n v="11320"/>
    <n v="7131"/>
    <n v="4189"/>
    <n v="0.3700530035335689"/>
    <x v="3"/>
  </r>
  <r>
    <n v="7"/>
    <d v="2025-06-22T00:00:00"/>
    <s v="Customer_21"/>
    <s v="Chair"/>
    <s v="Furniture"/>
    <n v="3"/>
    <n v="732"/>
    <n v="490"/>
    <n v="242"/>
    <n v="0.33060109289617484"/>
    <x v="1"/>
  </r>
  <r>
    <n v="8"/>
    <d v="2025-08-19T00:00:00"/>
    <s v="Customer_15"/>
    <s v="Desk"/>
    <s v="Furniture"/>
    <n v="6"/>
    <n v="1698"/>
    <n v="1426"/>
    <n v="272"/>
    <n v="0.16018845700824499"/>
    <x v="1"/>
  </r>
  <r>
    <n v="9"/>
    <d v="2025-05-16T00:00:00"/>
    <s v="Customer_6"/>
    <s v="Shoes"/>
    <s v="Clothing"/>
    <n v="8"/>
    <n v="9848"/>
    <n v="7681"/>
    <n v="2167"/>
    <n v="0.22004467912266451"/>
    <x v="1"/>
  </r>
  <r>
    <n v="10"/>
    <d v="2025-07-11T00:00:00"/>
    <s v="Customer_27"/>
    <s v="Chair"/>
    <s v="Furniture"/>
    <n v="9"/>
    <n v="2214"/>
    <n v="1217"/>
    <n v="997"/>
    <n v="0.45031616982836498"/>
    <x v="3"/>
  </r>
  <r>
    <n v="11"/>
    <d v="2025-02-25T00:00:00"/>
    <s v="Customer_37"/>
    <s v="Laptop"/>
    <s v="Electronics"/>
    <n v="5"/>
    <n v="8505"/>
    <n v="4677"/>
    <n v="3828"/>
    <n v="0.45008818342151674"/>
    <x v="1"/>
  </r>
  <r>
    <n v="12"/>
    <d v="2025-05-04T00:00:00"/>
    <s v="Customer_11"/>
    <s v="Headphones"/>
    <s v="Electronics"/>
    <n v="3"/>
    <n v="2214"/>
    <n v="1594"/>
    <n v="620"/>
    <n v="0.28003613369467029"/>
    <x v="0"/>
  </r>
  <r>
    <n v="13"/>
    <d v="2025-06-30T00:00:00"/>
    <s v="Customer_5"/>
    <s v="Laptop"/>
    <s v="Electronics"/>
    <n v="5"/>
    <n v="3915"/>
    <n v="2544"/>
    <n v="1371"/>
    <n v="0.35019157088122604"/>
    <x v="1"/>
  </r>
  <r>
    <n v="14"/>
    <d v="2025-11-01T00:00:00"/>
    <s v="Customer_28"/>
    <s v="Chair"/>
    <s v="Furniture"/>
    <n v="10"/>
    <n v="17310"/>
    <n v="11770"/>
    <n v="5540"/>
    <n v="0.32004621606008088"/>
    <x v="3"/>
  </r>
  <r>
    <n v="15"/>
    <d v="2025-12-05T00:00:00"/>
    <s v="Customer_38"/>
    <s v="Shoes"/>
    <s v="Clothing"/>
    <n v="5"/>
    <n v="2845"/>
    <n v="1849"/>
    <n v="996"/>
    <n v="0.35008787346221443"/>
    <x v="1"/>
  </r>
  <r>
    <n v="16"/>
    <d v="2025-12-02T00:00:00"/>
    <s v="Customer_20"/>
    <s v="Headphones"/>
    <s v="Electronics"/>
    <n v="6"/>
    <n v="6906"/>
    <n v="5317"/>
    <n v="1589"/>
    <n v="0.23008977700550245"/>
    <x v="0"/>
  </r>
  <r>
    <n v="17"/>
    <d v="2025-07-24T00:00:00"/>
    <s v="Customer_24"/>
    <s v="Phone"/>
    <s v="Electronics"/>
    <n v="9"/>
    <n v="8928"/>
    <n v="4999"/>
    <n v="3929"/>
    <n v="0.44007616487455198"/>
    <x v="1"/>
  </r>
  <r>
    <n v="18"/>
    <d v="2025-01-15T00:00:00"/>
    <s v="Customer_36"/>
    <s v="Headphones"/>
    <s v="Electronics"/>
    <n v="2"/>
    <n v="596"/>
    <n v="399"/>
    <n v="197"/>
    <n v="0.33053691275167785"/>
    <x v="0"/>
  </r>
  <r>
    <n v="19"/>
    <d v="2025-07-11T00:00:00"/>
    <s v="Customer_21"/>
    <s v="Phone"/>
    <s v="Electronics"/>
    <n v="5"/>
    <n v="1125"/>
    <n v="652"/>
    <n v="473"/>
    <n v="0.42044444444444445"/>
    <x v="0"/>
  </r>
  <r>
    <n v="20"/>
    <d v="2025-02-23T00:00:00"/>
    <s v="Customer_7"/>
    <s v="Shirt"/>
    <s v="Clothing"/>
    <n v="8"/>
    <n v="8720"/>
    <n v="5232"/>
    <n v="3488"/>
    <n v="0.4"/>
    <x v="3"/>
  </r>
  <r>
    <n v="21"/>
    <d v="2025-07-15T00:00:00"/>
    <s v="Customer_15"/>
    <s v="Laptop"/>
    <s v="Electronics"/>
    <n v="3"/>
    <n v="2034"/>
    <n v="1586"/>
    <n v="448"/>
    <n v="0.22025565388397247"/>
    <x v="3"/>
  </r>
  <r>
    <n v="22"/>
    <d v="2025-09-25T00:00:00"/>
    <s v="Customer_29"/>
    <s v="Jeans"/>
    <s v="Clothing"/>
    <n v="1"/>
    <n v="1111"/>
    <n v="877"/>
    <n v="234"/>
    <n v="0.21062106210621062"/>
    <x v="2"/>
  </r>
  <r>
    <n v="23"/>
    <d v="2025-05-25T00:00:00"/>
    <s v="Customer_4"/>
    <s v="Laptop"/>
    <s v="Electronics"/>
    <n v="4"/>
    <n v="6988"/>
    <n v="4402"/>
    <n v="2586"/>
    <n v="0.37006296508299941"/>
    <x v="0"/>
  </r>
  <r>
    <n v="24"/>
    <d v="2025-05-06T00:00:00"/>
    <s v="Customer_36"/>
    <s v="Jeans"/>
    <s v="Clothing"/>
    <n v="10"/>
    <n v="1860"/>
    <n v="1339"/>
    <n v="521"/>
    <n v="0.28010752688172041"/>
    <x v="3"/>
  </r>
  <r>
    <n v="25"/>
    <d v="2025-09-16T00:00:00"/>
    <s v="Customer_2"/>
    <s v="Phone"/>
    <s v="Electronics"/>
    <n v="2"/>
    <n v="2254"/>
    <n v="1780"/>
    <n v="474"/>
    <n v="0.21029281277728482"/>
    <x v="0"/>
  </r>
  <r>
    <n v="26"/>
    <d v="2025-02-25T00:00:00"/>
    <s v="Customer_8"/>
    <s v="Jeans"/>
    <s v="Clothing"/>
    <n v="7"/>
    <n v="6510"/>
    <n v="4557"/>
    <n v="1953"/>
    <n v="0.3"/>
    <x v="3"/>
  </r>
  <r>
    <n v="27"/>
    <d v="2025-05-16T00:00:00"/>
    <s v="Customer_32"/>
    <s v="Shoes"/>
    <s v="Clothing"/>
    <n v="10"/>
    <n v="18250"/>
    <n v="14052"/>
    <n v="4198"/>
    <n v="0.23002739726027396"/>
    <x v="3"/>
  </r>
  <r>
    <n v="28"/>
    <d v="2025-10-29T00:00:00"/>
    <s v="Customer_23"/>
    <s v="Desk"/>
    <s v="Furniture"/>
    <n v="9"/>
    <n v="3159"/>
    <n v="2400"/>
    <n v="759"/>
    <n v="0.2402659069325736"/>
    <x v="0"/>
  </r>
  <r>
    <n v="29"/>
    <d v="2025-01-20T00:00:00"/>
    <s v="Customer_36"/>
    <s v="Phone"/>
    <s v="Electronics"/>
    <n v="9"/>
    <n v="7785"/>
    <n v="4671"/>
    <n v="3114"/>
    <n v="0.4"/>
    <x v="0"/>
  </r>
  <r>
    <n v="30"/>
    <d v="2025-01-22T00:00:00"/>
    <s v="Customer_38"/>
    <s v="Desk"/>
    <s v="Furniture"/>
    <n v="8"/>
    <n v="14528"/>
    <n v="9733"/>
    <n v="4795"/>
    <n v="0.33005231277533037"/>
    <x v="0"/>
  </r>
  <r>
    <n v="31"/>
    <d v="2025-09-13T00:00:00"/>
    <s v="Customer_30"/>
    <s v="Jeans"/>
    <s v="Clothing"/>
    <n v="9"/>
    <n v="11943"/>
    <n v="6568"/>
    <n v="5375"/>
    <n v="0.45005442518630162"/>
    <x v="1"/>
  </r>
  <r>
    <n v="32"/>
    <d v="2025-03-15T00:00:00"/>
    <s v="Customer_33"/>
    <s v="Jeans"/>
    <s v="Clothing"/>
    <n v="7"/>
    <n v="7259"/>
    <n v="4355"/>
    <n v="2904"/>
    <n v="0.40005510400881666"/>
    <x v="1"/>
  </r>
  <r>
    <n v="33"/>
    <d v="2025-06-20T00:00:00"/>
    <s v="Customer_20"/>
    <s v="Shirt"/>
    <s v="Clothing"/>
    <n v="3"/>
    <n v="4644"/>
    <n v="3204"/>
    <n v="1440"/>
    <n v="0.31007751937984496"/>
    <x v="0"/>
  </r>
  <r>
    <n v="34"/>
    <d v="2025-06-10T00:00:00"/>
    <s v="Customer_40"/>
    <s v="Shirt"/>
    <s v="Clothing"/>
    <n v="1"/>
    <n v="1156"/>
    <n v="890"/>
    <n v="266"/>
    <n v="0.2301038062283737"/>
    <x v="3"/>
  </r>
  <r>
    <n v="35"/>
    <d v="2025-06-23T00:00:00"/>
    <s v="Customer_27"/>
    <s v="Desk"/>
    <s v="Furniture"/>
    <n v="4"/>
    <n v="5520"/>
    <n v="4636"/>
    <n v="884"/>
    <n v="0.16014492753623188"/>
    <x v="0"/>
  </r>
  <r>
    <n v="36"/>
    <d v="2025-01-17T00:00:00"/>
    <s v="Customer_17"/>
    <s v="Chair"/>
    <s v="Furniture"/>
    <n v="3"/>
    <n v="2055"/>
    <n v="1294"/>
    <n v="761"/>
    <n v="0.37031630170316304"/>
    <x v="0"/>
  </r>
  <r>
    <n v="37"/>
    <d v="2025-06-17T00:00:00"/>
    <s v="Customer_34"/>
    <s v="Desk"/>
    <s v="Furniture"/>
    <n v="4"/>
    <n v="7780"/>
    <n v="6068"/>
    <n v="1712"/>
    <n v="0.22005141388174806"/>
    <x v="0"/>
  </r>
  <r>
    <n v="38"/>
    <d v="2025-01-19T00:00:00"/>
    <s v="Customer_38"/>
    <s v="Shirt"/>
    <s v="Clothing"/>
    <n v="8"/>
    <n v="14672"/>
    <n v="11444"/>
    <n v="3228"/>
    <n v="0.22001090512540894"/>
    <x v="0"/>
  </r>
  <r>
    <n v="39"/>
    <d v="2025-09-09T00:00:00"/>
    <s v="Customer_20"/>
    <s v="Desk"/>
    <s v="Furniture"/>
    <n v="6"/>
    <n v="5688"/>
    <n v="3924"/>
    <n v="1764"/>
    <n v="0.310126582278481"/>
    <x v="0"/>
  </r>
  <r>
    <n v="40"/>
    <d v="2025-02-05T00:00:00"/>
    <s v="Customer_40"/>
    <s v="Shirt"/>
    <s v="Clothing"/>
    <n v="10"/>
    <n v="1770"/>
    <n v="1469"/>
    <n v="301"/>
    <n v="0.17005649717514124"/>
    <x v="2"/>
  </r>
  <r>
    <n v="41"/>
    <d v="2025-11-27T00:00:00"/>
    <s v="Customer_4"/>
    <s v="Phone"/>
    <s v="Electronics"/>
    <n v="2"/>
    <n v="2874"/>
    <n v="1781"/>
    <n v="1093"/>
    <n v="0.38030619345859429"/>
    <x v="1"/>
  </r>
  <r>
    <n v="42"/>
    <d v="2025-05-15T00:00:00"/>
    <s v="Customer_32"/>
    <s v="Jeans"/>
    <s v="Clothing"/>
    <n v="3"/>
    <n v="5307"/>
    <n v="3237"/>
    <n v="2070"/>
    <n v="0.39005087620124362"/>
    <x v="3"/>
  </r>
  <r>
    <n v="43"/>
    <d v="2025-02-07T00:00:00"/>
    <s v="Customer_22"/>
    <s v="Shoes"/>
    <s v="Clothing"/>
    <n v="5"/>
    <n v="1315"/>
    <n v="1012"/>
    <n v="303"/>
    <n v="0.23041825095057034"/>
    <x v="3"/>
  </r>
  <r>
    <n v="44"/>
    <d v="2025-08-24T00:00:00"/>
    <s v="Customer_30"/>
    <s v="Desk"/>
    <s v="Furniture"/>
    <n v="8"/>
    <n v="13544"/>
    <n v="8261"/>
    <n v="5283"/>
    <n v="0.39006202008269342"/>
    <x v="0"/>
  </r>
  <r>
    <n v="45"/>
    <d v="2025-12-03T00:00:00"/>
    <s v="Customer_35"/>
    <s v="Headphones"/>
    <s v="Electronics"/>
    <n v="10"/>
    <n v="9960"/>
    <n v="5478"/>
    <n v="4482"/>
    <n v="0.45"/>
    <x v="3"/>
  </r>
  <r>
    <n v="46"/>
    <d v="2025-08-24T00:00:00"/>
    <s v="Customer_34"/>
    <s v="Chair"/>
    <s v="Furniture"/>
    <n v="4"/>
    <n v="1532"/>
    <n v="1103"/>
    <n v="429"/>
    <n v="0.2800261096605744"/>
    <x v="0"/>
  </r>
  <r>
    <n v="47"/>
    <d v="2025-06-15T00:00:00"/>
    <s v="Customer_22"/>
    <s v="Phone"/>
    <s v="Electronics"/>
    <n v="10"/>
    <n v="14070"/>
    <n v="9708"/>
    <n v="4362"/>
    <n v="0.31002132196162047"/>
    <x v="3"/>
  </r>
  <r>
    <n v="48"/>
    <d v="2025-06-12T00:00:00"/>
    <s v="Customer_1"/>
    <s v="Desk"/>
    <s v="Furniture"/>
    <n v="5"/>
    <n v="4265"/>
    <n v="3369"/>
    <n v="896"/>
    <n v="0.21008206330597889"/>
    <x v="0"/>
  </r>
  <r>
    <n v="49"/>
    <d v="2025-03-18T00:00:00"/>
    <s v="Customer_15"/>
    <s v="Phone"/>
    <s v="Electronics"/>
    <n v="2"/>
    <n v="3836"/>
    <n v="3260"/>
    <n v="576"/>
    <n v="0.15015641293013557"/>
    <x v="1"/>
  </r>
  <r>
    <n v="50"/>
    <d v="2025-03-12T00:00:00"/>
    <s v="Customer_4"/>
    <s v="Phone"/>
    <s v="Electronics"/>
    <n v="9"/>
    <n v="7002"/>
    <n v="4901"/>
    <n v="2101"/>
    <n v="0.30005712653527561"/>
    <x v="1"/>
  </r>
  <r>
    <n v="51"/>
    <d v="2025-05-23T00:00:00"/>
    <s v="Customer_11"/>
    <s v="Jeans"/>
    <s v="Clothing"/>
    <n v="3"/>
    <n v="5931"/>
    <n v="4329"/>
    <n v="1602"/>
    <n v="0.27010622154779967"/>
    <x v="2"/>
  </r>
  <r>
    <n v="52"/>
    <d v="2025-05-04T00:00:00"/>
    <s v="Customer_27"/>
    <s v="Desk"/>
    <s v="Furniture"/>
    <n v="10"/>
    <n v="1630"/>
    <n v="994"/>
    <n v="636"/>
    <n v="0.39018404907975462"/>
    <x v="2"/>
  </r>
  <r>
    <n v="53"/>
    <d v="2025-12-02T00:00:00"/>
    <s v="Customer_27"/>
    <s v="Phone"/>
    <s v="Electronics"/>
    <n v="1"/>
    <n v="813"/>
    <n v="536"/>
    <n v="277"/>
    <n v="0.34071340713407133"/>
    <x v="3"/>
  </r>
  <r>
    <n v="54"/>
    <d v="2025-06-14T00:00:00"/>
    <s v="Customer_25"/>
    <s v="Phone"/>
    <s v="Electronics"/>
    <n v="2"/>
    <n v="2808"/>
    <n v="2049"/>
    <n v="759"/>
    <n v="0.27029914529914528"/>
    <x v="0"/>
  </r>
  <r>
    <n v="55"/>
    <d v="2025-08-19T00:00:00"/>
    <s v="Customer_26"/>
    <s v="Phone"/>
    <s v="Electronics"/>
    <n v="1"/>
    <n v="1896"/>
    <n v="1156"/>
    <n v="740"/>
    <n v="0.39029535864978904"/>
    <x v="1"/>
  </r>
  <r>
    <n v="56"/>
    <d v="2025-02-07T00:00:00"/>
    <s v="Customer_34"/>
    <s v="Shirt"/>
    <s v="Clothing"/>
    <n v="8"/>
    <n v="6392"/>
    <n v="3771"/>
    <n v="2621"/>
    <n v="0.41004380475594493"/>
    <x v="2"/>
  </r>
  <r>
    <n v="57"/>
    <d v="2025-08-26T00:00:00"/>
    <s v="Customer_35"/>
    <s v="Laptop"/>
    <s v="Electronics"/>
    <n v="5"/>
    <n v="4015"/>
    <n v="3332"/>
    <n v="683"/>
    <n v="0.1701120797011208"/>
    <x v="1"/>
  </r>
  <r>
    <n v="58"/>
    <d v="2025-05-09T00:00:00"/>
    <s v="Customer_21"/>
    <s v="Shoes"/>
    <s v="Clothing"/>
    <n v="3"/>
    <n v="699"/>
    <n v="468"/>
    <n v="231"/>
    <n v="0.33047210300429186"/>
    <x v="0"/>
  </r>
  <r>
    <n v="59"/>
    <d v="2025-02-27T00:00:00"/>
    <s v="Customer_24"/>
    <s v="Laptop"/>
    <s v="Electronics"/>
    <n v="1"/>
    <n v="519"/>
    <n v="295"/>
    <n v="224"/>
    <n v="0.43159922928709055"/>
    <x v="0"/>
  </r>
  <r>
    <n v="60"/>
    <d v="2025-08-05T00:00:00"/>
    <s v="Customer_17"/>
    <s v="Phone"/>
    <s v="Electronics"/>
    <n v="7"/>
    <n v="9093"/>
    <n v="5273"/>
    <n v="3820"/>
    <n v="0.42010337622346861"/>
    <x v="1"/>
  </r>
  <r>
    <n v="61"/>
    <d v="2025-03-15T00:00:00"/>
    <s v="Customer_28"/>
    <s v="Shoes"/>
    <s v="Clothing"/>
    <n v="2"/>
    <n v="3684"/>
    <n v="2394"/>
    <n v="1290"/>
    <n v="0.35016286644951139"/>
    <x v="3"/>
  </r>
  <r>
    <n v="62"/>
    <d v="2025-06-17T00:00:00"/>
    <s v="Customer_12"/>
    <s v="Jeans"/>
    <s v="Clothing"/>
    <n v="6"/>
    <n v="11088"/>
    <n v="7539"/>
    <n v="3549"/>
    <n v="0.32007575757575757"/>
    <x v="3"/>
  </r>
  <r>
    <n v="63"/>
    <d v="2025-10-21T00:00:00"/>
    <s v="Customer_32"/>
    <s v="Phone"/>
    <s v="Electronics"/>
    <n v="8"/>
    <n v="1200"/>
    <n v="924"/>
    <n v="276"/>
    <n v="0.23"/>
    <x v="0"/>
  </r>
  <r>
    <n v="64"/>
    <d v="2025-08-28T00:00:00"/>
    <s v="Customer_2"/>
    <s v="Headphones"/>
    <s v="Electronics"/>
    <n v="10"/>
    <n v="9450"/>
    <n v="6048"/>
    <n v="3402"/>
    <n v="0.36"/>
    <x v="2"/>
  </r>
  <r>
    <n v="65"/>
    <d v="2025-11-01T00:00:00"/>
    <s v="Customer_11"/>
    <s v="Phone"/>
    <s v="Electronics"/>
    <n v="9"/>
    <n v="10926"/>
    <n v="6009"/>
    <n v="4917"/>
    <n v="0.45002745744096651"/>
    <x v="1"/>
  </r>
  <r>
    <n v="66"/>
    <d v="2025-01-03T00:00:00"/>
    <s v="Customer_21"/>
    <s v="Shirt"/>
    <s v="Clothing"/>
    <n v="10"/>
    <n v="14570"/>
    <n v="8887"/>
    <n v="5683"/>
    <n v="0.39004804392587511"/>
    <x v="1"/>
  </r>
  <r>
    <n v="67"/>
    <d v="2025-08-31T00:00:00"/>
    <s v="Customer_7"/>
    <s v="Jeans"/>
    <s v="Clothing"/>
    <n v="5"/>
    <n v="1945"/>
    <n v="1536"/>
    <n v="409"/>
    <n v="0.2102827763496144"/>
    <x v="1"/>
  </r>
  <r>
    <n v="68"/>
    <d v="2025-02-28T00:00:00"/>
    <s v="Customer_22"/>
    <s v="Phone"/>
    <s v="Electronics"/>
    <n v="7"/>
    <n v="8309"/>
    <n v="4736"/>
    <n v="3573"/>
    <n v="0.43001564568540135"/>
    <x v="2"/>
  </r>
  <r>
    <n v="69"/>
    <d v="2025-10-16T00:00:00"/>
    <s v="Customer_16"/>
    <s v="Shirt"/>
    <s v="Clothing"/>
    <n v="4"/>
    <n v="4516"/>
    <n v="3522"/>
    <n v="994"/>
    <n v="0.22010628875110719"/>
    <x v="2"/>
  </r>
  <r>
    <n v="70"/>
    <d v="2025-12-26T00:00:00"/>
    <s v="Customer_24"/>
    <s v="Laptop"/>
    <s v="Electronics"/>
    <n v="4"/>
    <n v="584"/>
    <n v="490"/>
    <n v="94"/>
    <n v="0.16095890410958905"/>
    <x v="0"/>
  </r>
  <r>
    <n v="71"/>
    <d v="2025-06-09T00:00:00"/>
    <s v="Customer_25"/>
    <s v="Headphones"/>
    <s v="Electronics"/>
    <n v="9"/>
    <n v="5121"/>
    <n v="2970"/>
    <n v="2151"/>
    <n v="0.42003514938488579"/>
    <x v="2"/>
  </r>
  <r>
    <n v="72"/>
    <d v="2025-10-26T00:00:00"/>
    <s v="Customer_39"/>
    <s v="Shirt"/>
    <s v="Clothing"/>
    <n v="3"/>
    <n v="5322"/>
    <n v="3193"/>
    <n v="2129"/>
    <n v="0.40003757985719657"/>
    <x v="3"/>
  </r>
  <r>
    <n v="73"/>
    <d v="2025-08-17T00:00:00"/>
    <s v="Customer_18"/>
    <s v="Chair"/>
    <s v="Furniture"/>
    <n v="2"/>
    <n v="2670"/>
    <n v="2162"/>
    <n v="508"/>
    <n v="0.1902621722846442"/>
    <x v="3"/>
  </r>
  <r>
    <n v="74"/>
    <d v="2025-02-20T00:00:00"/>
    <s v="Customer_27"/>
    <s v="Headphones"/>
    <s v="Electronics"/>
    <n v="2"/>
    <n v="1626"/>
    <n v="1105"/>
    <n v="521"/>
    <n v="0.32041820418204181"/>
    <x v="1"/>
  </r>
  <r>
    <n v="75"/>
    <d v="2025-04-15T00:00:00"/>
    <s v="Customer_11"/>
    <s v="Phone"/>
    <s v="Electronics"/>
    <n v="4"/>
    <n v="2228"/>
    <n v="1336"/>
    <n v="892"/>
    <n v="0.40035906642728902"/>
    <x v="3"/>
  </r>
  <r>
    <n v="76"/>
    <d v="2025-04-11T00:00:00"/>
    <s v="Customer_34"/>
    <s v="Phone"/>
    <s v="Electronics"/>
    <n v="8"/>
    <n v="13176"/>
    <n v="10277"/>
    <n v="2899"/>
    <n v="0.22002125075895568"/>
    <x v="2"/>
  </r>
  <r>
    <n v="77"/>
    <d v="2025-11-29T00:00:00"/>
    <s v="Customer_18"/>
    <s v="Desk"/>
    <s v="Furniture"/>
    <n v="2"/>
    <n v="964"/>
    <n v="713"/>
    <n v="251"/>
    <n v="0.26037344398340251"/>
    <x v="3"/>
  </r>
  <r>
    <n v="78"/>
    <d v="2025-01-27T00:00:00"/>
    <s v="Customer_30"/>
    <s v="Shirt"/>
    <s v="Clothing"/>
    <n v="5"/>
    <n v="9005"/>
    <n v="6213"/>
    <n v="2792"/>
    <n v="0.31004997223764574"/>
    <x v="3"/>
  </r>
  <r>
    <n v="79"/>
    <d v="2025-11-27T00:00:00"/>
    <s v="Customer_17"/>
    <s v="Shoes"/>
    <s v="Clothing"/>
    <n v="7"/>
    <n v="7910"/>
    <n v="5220"/>
    <n v="2690"/>
    <n v="0.34007585335018964"/>
    <x v="1"/>
  </r>
  <r>
    <n v="80"/>
    <d v="2025-04-03T00:00:00"/>
    <s v="Customer_36"/>
    <s v="Chair"/>
    <s v="Furniture"/>
    <n v="4"/>
    <n v="5716"/>
    <n v="3658"/>
    <n v="2058"/>
    <n v="0.36004198740377885"/>
    <x v="0"/>
  </r>
  <r>
    <n v="81"/>
    <d v="2025-02-10T00:00:00"/>
    <s v="Customer_18"/>
    <s v="Desk"/>
    <s v="Furniture"/>
    <n v="3"/>
    <n v="1824"/>
    <n v="1222"/>
    <n v="602"/>
    <n v="0.33004385964912281"/>
    <x v="0"/>
  </r>
  <r>
    <n v="82"/>
    <d v="2025-02-02T00:00:00"/>
    <s v="Customer_19"/>
    <s v="Headphones"/>
    <s v="Electronics"/>
    <n v="7"/>
    <n v="6258"/>
    <n v="5319"/>
    <n v="939"/>
    <n v="0.15004793863854266"/>
    <x v="0"/>
  </r>
  <r>
    <n v="83"/>
    <d v="2025-12-25T00:00:00"/>
    <s v="Customer_20"/>
    <s v="Phone"/>
    <s v="Electronics"/>
    <n v="6"/>
    <n v="1164"/>
    <n v="721"/>
    <n v="443"/>
    <n v="0.38058419243986252"/>
    <x v="1"/>
  </r>
  <r>
    <n v="84"/>
    <d v="2025-04-16T00:00:00"/>
    <s v="Customer_4"/>
    <s v="Laptop"/>
    <s v="Electronics"/>
    <n v="4"/>
    <n v="2416"/>
    <n v="1667"/>
    <n v="749"/>
    <n v="0.31001655629139074"/>
    <x v="3"/>
  </r>
  <r>
    <n v="85"/>
    <d v="2025-02-02T00:00:00"/>
    <s v="Customer_32"/>
    <s v="Shirt"/>
    <s v="Clothing"/>
    <n v="4"/>
    <n v="6124"/>
    <n v="4286"/>
    <n v="1838"/>
    <n v="0.30013063357282821"/>
    <x v="0"/>
  </r>
  <r>
    <n v="86"/>
    <d v="2025-10-09T00:00:00"/>
    <s v="Customer_38"/>
    <s v="Desk"/>
    <s v="Furniture"/>
    <n v="8"/>
    <n v="8792"/>
    <n v="6154"/>
    <n v="2638"/>
    <n v="0.3000454959053685"/>
    <x v="2"/>
  </r>
  <r>
    <n v="87"/>
    <d v="2025-12-31T00:00:00"/>
    <s v="Customer_4"/>
    <s v="Laptop"/>
    <s v="Electronics"/>
    <n v="2"/>
    <n v="1392"/>
    <n v="1002"/>
    <n v="390"/>
    <n v="0.28017241379310343"/>
    <x v="0"/>
  </r>
  <r>
    <n v="88"/>
    <d v="2025-10-04T00:00:00"/>
    <s v="Customer_19"/>
    <s v="Desk"/>
    <s v="Furniture"/>
    <n v="3"/>
    <n v="4419"/>
    <n v="2872"/>
    <n v="1547"/>
    <n v="0.35007920343969223"/>
    <x v="1"/>
  </r>
  <r>
    <n v="89"/>
    <d v="2025-05-23T00:00:00"/>
    <s v="Customer_23"/>
    <s v="Desk"/>
    <s v="Furniture"/>
    <n v="10"/>
    <n v="19240"/>
    <n v="13468"/>
    <n v="5772"/>
    <n v="0.3"/>
    <x v="3"/>
  </r>
  <r>
    <n v="90"/>
    <d v="2025-08-28T00:00:00"/>
    <s v="Customer_19"/>
    <s v="Jeans"/>
    <s v="Clothing"/>
    <n v="2"/>
    <n v="706"/>
    <n v="465"/>
    <n v="241"/>
    <n v="0.34135977337110479"/>
    <x v="3"/>
  </r>
  <r>
    <n v="91"/>
    <d v="2025-08-02T00:00:00"/>
    <s v="Customer_30"/>
    <s v="Jeans"/>
    <s v="Clothing"/>
    <n v="8"/>
    <n v="13992"/>
    <n v="8675"/>
    <n v="5317"/>
    <n v="0.38000285877644369"/>
    <x v="3"/>
  </r>
  <r>
    <n v="92"/>
    <d v="2025-03-14T00:00:00"/>
    <s v="Customer_4"/>
    <s v="Desk"/>
    <s v="Furniture"/>
    <n v="8"/>
    <n v="10704"/>
    <n v="6636"/>
    <n v="4068"/>
    <n v="0.38004484304932734"/>
    <x v="3"/>
  </r>
  <r>
    <n v="93"/>
    <d v="2025-01-20T00:00:00"/>
    <s v="Customer_4"/>
    <s v="Headphones"/>
    <s v="Electronics"/>
    <n v="3"/>
    <n v="1050"/>
    <n v="661"/>
    <n v="389"/>
    <n v="0.37047619047619046"/>
    <x v="2"/>
  </r>
  <r>
    <n v="94"/>
    <d v="2025-01-04T00:00:00"/>
    <s v="Customer_28"/>
    <s v="Chair"/>
    <s v="Furniture"/>
    <n v="7"/>
    <n v="10374"/>
    <n v="6639"/>
    <n v="3735"/>
    <n v="0.3600347021399653"/>
    <x v="2"/>
  </r>
  <r>
    <n v="95"/>
    <d v="2025-03-15T00:00:00"/>
    <s v="Customer_13"/>
    <s v="Shoes"/>
    <s v="Clothing"/>
    <n v="7"/>
    <n v="5593"/>
    <n v="3076"/>
    <n v="2517"/>
    <n v="0.45002681923833365"/>
    <x v="3"/>
  </r>
  <r>
    <n v="96"/>
    <d v="2025-11-22T00:00:00"/>
    <s v="Customer_1"/>
    <s v="Shoes"/>
    <s v="Clothing"/>
    <n v="1"/>
    <n v="350"/>
    <n v="273"/>
    <n v="77"/>
    <n v="0.22"/>
    <x v="2"/>
  </r>
  <r>
    <n v="97"/>
    <d v="2025-02-03T00:00:00"/>
    <s v="Customer_25"/>
    <s v="Shirt"/>
    <s v="Clothing"/>
    <n v="10"/>
    <n v="15910"/>
    <n v="12568"/>
    <n v="3342"/>
    <n v="0.21005656819610308"/>
    <x v="1"/>
  </r>
  <r>
    <n v="98"/>
    <d v="2025-01-27T00:00:00"/>
    <s v="Customer_19"/>
    <s v="Desk"/>
    <s v="Furniture"/>
    <n v="1"/>
    <n v="918"/>
    <n v="679"/>
    <n v="239"/>
    <n v="0.26034858387799564"/>
    <x v="0"/>
  </r>
  <r>
    <n v="99"/>
    <d v="2025-06-07T00:00:00"/>
    <s v="Customer_10"/>
    <s v="Desk"/>
    <s v="Furniture"/>
    <n v="1"/>
    <n v="1186"/>
    <n v="948"/>
    <n v="238"/>
    <n v="0.20067453625632378"/>
    <x v="1"/>
  </r>
  <r>
    <n v="100"/>
    <d v="2025-04-21T00:00:00"/>
    <s v="Customer_11"/>
    <s v="Jeans"/>
    <s v="Clothing"/>
    <n v="3"/>
    <n v="4590"/>
    <n v="3396"/>
    <n v="1194"/>
    <n v="0.26013071895424839"/>
    <x v="3"/>
  </r>
  <r>
    <n v="101"/>
    <d v="2025-09-12T00:00:00"/>
    <s v="Customer_8"/>
    <s v="Phone"/>
    <s v="Electronics"/>
    <n v="7"/>
    <n v="1911"/>
    <n v="1471"/>
    <n v="440"/>
    <n v="0.23024594453165881"/>
    <x v="1"/>
  </r>
  <r>
    <n v="102"/>
    <d v="2025-03-18T00:00:00"/>
    <s v="Customer_5"/>
    <s v="Shoes"/>
    <s v="Clothing"/>
    <n v="10"/>
    <n v="2400"/>
    <n v="1416"/>
    <n v="984"/>
    <n v="0.41"/>
    <x v="0"/>
  </r>
  <r>
    <n v="103"/>
    <d v="2025-08-15T00:00:00"/>
    <s v="Customer_7"/>
    <s v="Phone"/>
    <s v="Electronics"/>
    <n v="4"/>
    <n v="7468"/>
    <n v="6347"/>
    <n v="1121"/>
    <n v="0.15010712372790574"/>
    <x v="3"/>
  </r>
  <r>
    <n v="104"/>
    <d v="2025-07-12T00:00:00"/>
    <s v="Customer_14"/>
    <s v="Phone"/>
    <s v="Electronics"/>
    <n v="10"/>
    <n v="17790"/>
    <n v="10851"/>
    <n v="6939"/>
    <n v="0.39005059021922428"/>
    <x v="1"/>
  </r>
  <r>
    <n v="105"/>
    <d v="2025-12-19T00:00:00"/>
    <s v="Customer_6"/>
    <s v="Headphones"/>
    <s v="Electronics"/>
    <n v="3"/>
    <n v="1338"/>
    <n v="976"/>
    <n v="362"/>
    <n v="0.27055306427503739"/>
    <x v="3"/>
  </r>
  <r>
    <n v="106"/>
    <d v="2025-07-26T00:00:00"/>
    <s v="Customer_4"/>
    <s v="Desk"/>
    <s v="Furniture"/>
    <n v="10"/>
    <n v="15740"/>
    <n v="10860"/>
    <n v="4880"/>
    <n v="0.31003811944091486"/>
    <x v="3"/>
  </r>
  <r>
    <n v="107"/>
    <d v="2025-12-15T00:00:00"/>
    <s v="Customer_23"/>
    <s v="Shirt"/>
    <s v="Clothing"/>
    <n v="6"/>
    <n v="8706"/>
    <n v="6355"/>
    <n v="2351"/>
    <n v="0.27004364805881004"/>
    <x v="0"/>
  </r>
  <r>
    <n v="108"/>
    <d v="2025-06-21T00:00:00"/>
    <s v="Customer_1"/>
    <s v="Chair"/>
    <s v="Furniture"/>
    <n v="6"/>
    <n v="4506"/>
    <n v="3649"/>
    <n v="857"/>
    <n v="0.19019085663559698"/>
    <x v="0"/>
  </r>
  <r>
    <n v="109"/>
    <d v="2025-12-29T00:00:00"/>
    <s v="Customer_4"/>
    <s v="Phone"/>
    <s v="Electronics"/>
    <n v="6"/>
    <n v="8448"/>
    <n v="5491"/>
    <n v="2957"/>
    <n v="0.35002367424242425"/>
    <x v="3"/>
  </r>
  <r>
    <n v="110"/>
    <d v="2025-10-01T00:00:00"/>
    <s v="Customer_35"/>
    <s v="Shoes"/>
    <s v="Clothing"/>
    <n v="8"/>
    <n v="15056"/>
    <n v="10990"/>
    <n v="4066"/>
    <n v="0.27005844845908605"/>
    <x v="0"/>
  </r>
  <r>
    <n v="111"/>
    <d v="2025-07-10T00:00:00"/>
    <s v="Customer_12"/>
    <s v="Phone"/>
    <s v="Electronics"/>
    <n v="10"/>
    <n v="3610"/>
    <n v="2129"/>
    <n v="1481"/>
    <n v="0.41024930747922439"/>
    <x v="2"/>
  </r>
  <r>
    <n v="112"/>
    <d v="2025-03-25T00:00:00"/>
    <s v="Customer_26"/>
    <s v="Shoes"/>
    <s v="Clothing"/>
    <n v="9"/>
    <n v="9522"/>
    <n v="5998"/>
    <n v="3524"/>
    <n v="0.37009031716026047"/>
    <x v="2"/>
  </r>
  <r>
    <n v="113"/>
    <d v="2025-11-24T00:00:00"/>
    <s v="Customer_4"/>
    <s v="Chair"/>
    <s v="Furniture"/>
    <n v="4"/>
    <n v="1948"/>
    <n v="1422"/>
    <n v="526"/>
    <n v="0.27002053388090347"/>
    <x v="1"/>
  </r>
  <r>
    <n v="114"/>
    <d v="2025-10-20T00:00:00"/>
    <s v="Customer_5"/>
    <s v="Phone"/>
    <s v="Electronics"/>
    <n v="1"/>
    <n v="532"/>
    <n v="420"/>
    <n v="112"/>
    <n v="0.21052631578947367"/>
    <x v="0"/>
  </r>
  <r>
    <n v="115"/>
    <d v="2025-06-20T00:00:00"/>
    <s v="Customer_25"/>
    <s v="Chair"/>
    <s v="Furniture"/>
    <n v="6"/>
    <n v="8640"/>
    <n v="6998"/>
    <n v="1642"/>
    <n v="0.1900462962962963"/>
    <x v="1"/>
  </r>
  <r>
    <n v="116"/>
    <d v="2025-01-01T00:00:00"/>
    <s v="Customer_5"/>
    <s v="Phone"/>
    <s v="Electronics"/>
    <n v="9"/>
    <n v="8028"/>
    <n v="6663"/>
    <n v="1365"/>
    <n v="0.17002989536621824"/>
    <x v="2"/>
  </r>
  <r>
    <n v="117"/>
    <d v="2025-05-26T00:00:00"/>
    <s v="Customer_12"/>
    <s v="Phone"/>
    <s v="Electronics"/>
    <n v="1"/>
    <n v="408"/>
    <n v="338"/>
    <n v="70"/>
    <n v="0.17156862745098039"/>
    <x v="1"/>
  </r>
  <r>
    <n v="118"/>
    <d v="2025-04-17T00:00:00"/>
    <s v="Customer_18"/>
    <s v="Phone"/>
    <s v="Electronics"/>
    <n v="2"/>
    <n v="492"/>
    <n v="369"/>
    <n v="123"/>
    <n v="0.25"/>
    <x v="1"/>
  </r>
  <r>
    <n v="119"/>
    <d v="2025-07-20T00:00:00"/>
    <s v="Customer_15"/>
    <s v="Shoes"/>
    <s v="Clothing"/>
    <n v="3"/>
    <n v="5091"/>
    <n v="4123"/>
    <n v="968"/>
    <n v="0.19013946179532509"/>
    <x v="2"/>
  </r>
  <r>
    <n v="120"/>
    <d v="2025-12-15T00:00:00"/>
    <s v="Customer_7"/>
    <s v="Shirt"/>
    <s v="Clothing"/>
    <n v="8"/>
    <n v="13144"/>
    <n v="11172"/>
    <n v="1972"/>
    <n v="0.15003043213633596"/>
    <x v="1"/>
  </r>
  <r>
    <n v="121"/>
    <d v="2025-11-01T00:00:00"/>
    <s v="Customer_9"/>
    <s v="Shoes"/>
    <s v="Clothing"/>
    <n v="4"/>
    <n v="3560"/>
    <n v="2741"/>
    <n v="819"/>
    <n v="0.23005617977528089"/>
    <x v="1"/>
  </r>
  <r>
    <n v="122"/>
    <d v="2025-09-22T00:00:00"/>
    <s v="Customer_26"/>
    <s v="Desk"/>
    <s v="Furniture"/>
    <n v="4"/>
    <n v="4956"/>
    <n v="3221"/>
    <n v="1735"/>
    <n v="0.35008071025020177"/>
    <x v="0"/>
  </r>
  <r>
    <n v="123"/>
    <d v="2025-07-13T00:00:00"/>
    <s v="Customer_12"/>
    <s v="Shirt"/>
    <s v="Clothing"/>
    <n v="4"/>
    <n v="1652"/>
    <n v="1024"/>
    <n v="628"/>
    <n v="0.38014527845036322"/>
    <x v="3"/>
  </r>
  <r>
    <n v="124"/>
    <d v="2025-10-29T00:00:00"/>
    <s v="Customer_39"/>
    <s v="Laptop"/>
    <s v="Electronics"/>
    <n v="8"/>
    <n v="6168"/>
    <n v="4255"/>
    <n v="1913"/>
    <n v="0.31014915693904022"/>
    <x v="0"/>
  </r>
  <r>
    <n v="125"/>
    <d v="2025-04-25T00:00:00"/>
    <s v="Customer_31"/>
    <s v="Desk"/>
    <s v="Furniture"/>
    <n v="2"/>
    <n v="2966"/>
    <n v="1838"/>
    <n v="1128"/>
    <n v="0.38031018206338502"/>
    <x v="1"/>
  </r>
  <r>
    <n v="126"/>
    <d v="2025-09-27T00:00:00"/>
    <s v="Customer_20"/>
    <s v="Headphones"/>
    <s v="Electronics"/>
    <n v="3"/>
    <n v="2019"/>
    <n v="1271"/>
    <n v="748"/>
    <n v="0.37048043585933632"/>
    <x v="3"/>
  </r>
  <r>
    <n v="127"/>
    <d v="2025-03-07T00:00:00"/>
    <s v="Customer_3"/>
    <s v="Chair"/>
    <s v="Furniture"/>
    <n v="10"/>
    <n v="12890"/>
    <n v="9667"/>
    <n v="3223"/>
    <n v="0.2500387897595035"/>
    <x v="1"/>
  </r>
  <r>
    <n v="128"/>
    <d v="2025-04-18T00:00:00"/>
    <s v="Customer_29"/>
    <s v="Shirt"/>
    <s v="Clothing"/>
    <n v="9"/>
    <n v="1629"/>
    <n v="1238"/>
    <n v="391"/>
    <n v="0.24002455494168201"/>
    <x v="0"/>
  </r>
  <r>
    <n v="129"/>
    <d v="2025-11-07T00:00:00"/>
    <s v="Customer_37"/>
    <s v="Desk"/>
    <s v="Furniture"/>
    <n v="8"/>
    <n v="14040"/>
    <n v="8985"/>
    <n v="5055"/>
    <n v="0.36004273504273504"/>
    <x v="1"/>
  </r>
  <r>
    <n v="130"/>
    <d v="2025-06-26T00:00:00"/>
    <s v="Customer_15"/>
    <s v="Shoes"/>
    <s v="Clothing"/>
    <n v="7"/>
    <n v="6160"/>
    <n v="3942"/>
    <n v="2218"/>
    <n v="0.36006493506493509"/>
    <x v="0"/>
  </r>
  <r>
    <n v="131"/>
    <d v="2025-07-12T00:00:00"/>
    <s v="Customer_18"/>
    <s v="Laptop"/>
    <s v="Electronics"/>
    <n v="2"/>
    <n v="3652"/>
    <n v="2227"/>
    <n v="1425"/>
    <n v="0.39019715224534501"/>
    <x v="2"/>
  </r>
  <r>
    <n v="132"/>
    <d v="2025-07-08T00:00:00"/>
    <s v="Customer_8"/>
    <s v="Shirt"/>
    <s v="Clothing"/>
    <n v="8"/>
    <n v="2168"/>
    <n v="1192"/>
    <n v="976"/>
    <n v="0.45018450184501846"/>
    <x v="2"/>
  </r>
  <r>
    <n v="133"/>
    <d v="2025-05-13T00:00:00"/>
    <s v="Customer_33"/>
    <s v="Shirt"/>
    <s v="Clothing"/>
    <n v="3"/>
    <n v="1926"/>
    <n v="1174"/>
    <n v="752"/>
    <n v="0.39044652128764279"/>
    <x v="3"/>
  </r>
  <r>
    <n v="134"/>
    <d v="2025-07-01T00:00:00"/>
    <s v="Customer_1"/>
    <s v="Desk"/>
    <s v="Furniture"/>
    <n v="7"/>
    <n v="13930"/>
    <n v="7800"/>
    <n v="6130"/>
    <n v="0.44005743000717873"/>
    <x v="1"/>
  </r>
  <r>
    <n v="135"/>
    <d v="2025-04-12T00:00:00"/>
    <s v="Customer_30"/>
    <s v="Headphones"/>
    <s v="Electronics"/>
    <n v="1"/>
    <n v="725"/>
    <n v="398"/>
    <n v="327"/>
    <n v="0.45103448275862068"/>
    <x v="0"/>
  </r>
  <r>
    <n v="136"/>
    <d v="2025-03-01T00:00:00"/>
    <s v="Customer_10"/>
    <s v="Jeans"/>
    <s v="Clothing"/>
    <n v="10"/>
    <n v="6000"/>
    <n v="4560"/>
    <n v="1440"/>
    <n v="0.24"/>
    <x v="1"/>
  </r>
  <r>
    <n v="137"/>
    <d v="2025-11-08T00:00:00"/>
    <s v="Customer_23"/>
    <s v="Laptop"/>
    <s v="Electronics"/>
    <n v="1"/>
    <n v="1376"/>
    <n v="908"/>
    <n v="468"/>
    <n v="0.34011627906976744"/>
    <x v="1"/>
  </r>
  <r>
    <n v="138"/>
    <d v="2025-09-30T00:00:00"/>
    <s v="Customer_18"/>
    <s v="Laptop"/>
    <s v="Electronics"/>
    <n v="8"/>
    <n v="11008"/>
    <n v="8916"/>
    <n v="2092"/>
    <n v="0.1900436046511628"/>
    <x v="2"/>
  </r>
  <r>
    <n v="139"/>
    <d v="2025-12-06T00:00:00"/>
    <s v="Customer_35"/>
    <s v="Laptop"/>
    <s v="Electronics"/>
    <n v="1"/>
    <n v="1968"/>
    <n v="1298"/>
    <n v="670"/>
    <n v="0.34044715447154472"/>
    <x v="1"/>
  </r>
  <r>
    <n v="140"/>
    <d v="2025-07-15T00:00:00"/>
    <s v="Customer_18"/>
    <s v="Chair"/>
    <s v="Furniture"/>
    <n v="7"/>
    <n v="805"/>
    <n v="450"/>
    <n v="355"/>
    <n v="0.44099378881987578"/>
    <x v="2"/>
  </r>
  <r>
    <n v="141"/>
    <d v="2025-11-07T00:00:00"/>
    <s v="Customer_6"/>
    <s v="Chair"/>
    <s v="Furniture"/>
    <n v="7"/>
    <n v="2205"/>
    <n v="1234"/>
    <n v="971"/>
    <n v="0.4403628117913832"/>
    <x v="3"/>
  </r>
  <r>
    <n v="142"/>
    <d v="2025-02-24T00:00:00"/>
    <s v="Customer_7"/>
    <s v="Desk"/>
    <s v="Furniture"/>
    <n v="9"/>
    <n v="9576"/>
    <n v="6511"/>
    <n v="3065"/>
    <n v="0.32007101086048456"/>
    <x v="2"/>
  </r>
  <r>
    <n v="143"/>
    <d v="2025-08-27T00:00:00"/>
    <s v="Customer_26"/>
    <s v="Chair"/>
    <s v="Furniture"/>
    <n v="5"/>
    <n v="1540"/>
    <n v="908"/>
    <n v="632"/>
    <n v="0.41038961038961042"/>
    <x v="0"/>
  </r>
  <r>
    <n v="144"/>
    <d v="2025-11-17T00:00:00"/>
    <s v="Customer_4"/>
    <s v="Desk"/>
    <s v="Furniture"/>
    <n v="10"/>
    <n v="7110"/>
    <n v="4052"/>
    <n v="3058"/>
    <n v="0.43009845288326298"/>
    <x v="2"/>
  </r>
  <r>
    <n v="145"/>
    <d v="2025-02-16T00:00:00"/>
    <s v="Customer_3"/>
    <s v="Shirt"/>
    <s v="Clothing"/>
    <n v="10"/>
    <n v="12560"/>
    <n v="7536"/>
    <n v="5024"/>
    <n v="0.4"/>
    <x v="3"/>
  </r>
  <r>
    <n v="146"/>
    <d v="2025-01-31T00:00:00"/>
    <s v="Customer_29"/>
    <s v="Chair"/>
    <s v="Furniture"/>
    <n v="5"/>
    <n v="7920"/>
    <n v="6652"/>
    <n v="1268"/>
    <n v="0.1601010101010101"/>
    <x v="0"/>
  </r>
  <r>
    <n v="147"/>
    <d v="2025-12-11T00:00:00"/>
    <s v="Customer_14"/>
    <s v="Chair"/>
    <s v="Furniture"/>
    <n v="3"/>
    <n v="4749"/>
    <n v="3419"/>
    <n v="1330"/>
    <n v="0.28005895978100653"/>
    <x v="2"/>
  </r>
  <r>
    <n v="148"/>
    <d v="2025-10-18T00:00:00"/>
    <s v="Customer_4"/>
    <s v="Headphones"/>
    <s v="Electronics"/>
    <n v="1"/>
    <n v="669"/>
    <n v="508"/>
    <n v="161"/>
    <n v="0.24065769805680121"/>
    <x v="2"/>
  </r>
  <r>
    <n v="149"/>
    <d v="2025-06-15T00:00:00"/>
    <s v="Customer_15"/>
    <s v="Shirt"/>
    <s v="Clothing"/>
    <n v="9"/>
    <n v="4806"/>
    <n v="2787"/>
    <n v="2019"/>
    <n v="0.42009987515605496"/>
    <x v="0"/>
  </r>
  <r>
    <n v="150"/>
    <d v="2025-04-01T00:00:00"/>
    <s v="Customer_25"/>
    <s v="Phone"/>
    <s v="Electronics"/>
    <n v="1"/>
    <n v="897"/>
    <n v="511"/>
    <n v="386"/>
    <n v="0.43032329988851725"/>
    <x v="2"/>
  </r>
  <r>
    <n v="151"/>
    <d v="2025-07-26T00:00:00"/>
    <s v="Customer_13"/>
    <s v="Chair"/>
    <s v="Furniture"/>
    <n v="8"/>
    <n v="2224"/>
    <n v="1734"/>
    <n v="490"/>
    <n v="0.22032374100719423"/>
    <x v="0"/>
  </r>
  <r>
    <n v="152"/>
    <d v="2025-09-11T00:00:00"/>
    <s v="Customer_15"/>
    <s v="Shoes"/>
    <s v="Clothing"/>
    <n v="10"/>
    <n v="6580"/>
    <n v="4671"/>
    <n v="1909"/>
    <n v="0.29012158054711246"/>
    <x v="1"/>
  </r>
  <r>
    <n v="153"/>
    <d v="2025-12-18T00:00:00"/>
    <s v="Customer_22"/>
    <s v="Jeans"/>
    <s v="Clothing"/>
    <n v="6"/>
    <n v="2622"/>
    <n v="1861"/>
    <n v="761"/>
    <n v="0.29023646071700993"/>
    <x v="1"/>
  </r>
  <r>
    <n v="154"/>
    <d v="2025-09-13T00:00:00"/>
    <s v="Customer_30"/>
    <s v="Chair"/>
    <s v="Furniture"/>
    <n v="5"/>
    <n v="9695"/>
    <n v="7174"/>
    <n v="2521"/>
    <n v="0.26003094378545644"/>
    <x v="2"/>
  </r>
  <r>
    <n v="155"/>
    <d v="2025-12-23T00:00:00"/>
    <s v="Customer_12"/>
    <s v="Shoes"/>
    <s v="Clothing"/>
    <n v="4"/>
    <n v="4580"/>
    <n v="2977"/>
    <n v="1603"/>
    <n v="0.35"/>
    <x v="0"/>
  </r>
  <r>
    <n v="156"/>
    <d v="2025-03-03T00:00:00"/>
    <s v="Customer_27"/>
    <s v="Chair"/>
    <s v="Furniture"/>
    <n v="10"/>
    <n v="17020"/>
    <n v="12765"/>
    <n v="4255"/>
    <n v="0.25"/>
    <x v="1"/>
  </r>
  <r>
    <n v="157"/>
    <d v="2025-09-29T00:00:00"/>
    <s v="Customer_31"/>
    <s v="Jeans"/>
    <s v="Clothing"/>
    <n v="6"/>
    <n v="1692"/>
    <n v="1285"/>
    <n v="407"/>
    <n v="0.24054373522458627"/>
    <x v="1"/>
  </r>
  <r>
    <n v="158"/>
    <d v="2025-10-20T00:00:00"/>
    <s v="Customer_17"/>
    <s v="Jeans"/>
    <s v="Clothing"/>
    <n v="10"/>
    <n v="15090"/>
    <n v="11468"/>
    <n v="3622"/>
    <n v="0.24002650762094102"/>
    <x v="3"/>
  </r>
  <r>
    <n v="159"/>
    <d v="2025-01-12T00:00:00"/>
    <s v="Customer_20"/>
    <s v="Headphones"/>
    <s v="Electronics"/>
    <n v="3"/>
    <n v="2325"/>
    <n v="1976"/>
    <n v="349"/>
    <n v="0.15010752688172044"/>
    <x v="2"/>
  </r>
  <r>
    <n v="160"/>
    <d v="2025-03-02T00:00:00"/>
    <s v="Customer_23"/>
    <s v="Shirt"/>
    <s v="Clothing"/>
    <n v="1"/>
    <n v="1949"/>
    <n v="1422"/>
    <n v="527"/>
    <n v="0.27039507439712673"/>
    <x v="2"/>
  </r>
  <r>
    <n v="161"/>
    <d v="2025-07-16T00:00:00"/>
    <s v="Customer_26"/>
    <s v="Laptop"/>
    <s v="Electronics"/>
    <n v="7"/>
    <n v="4228"/>
    <n v="2367"/>
    <n v="1861"/>
    <n v="0.44016083254493849"/>
    <x v="0"/>
  </r>
  <r>
    <n v="162"/>
    <d v="2025-08-23T00:00:00"/>
    <s v="Customer_25"/>
    <s v="Shirt"/>
    <s v="Clothing"/>
    <n v="8"/>
    <n v="6968"/>
    <n v="4250"/>
    <n v="2718"/>
    <n v="0.39006888633754305"/>
    <x v="3"/>
  </r>
  <r>
    <n v="163"/>
    <d v="2025-11-24T00:00:00"/>
    <s v="Customer_7"/>
    <s v="Headphones"/>
    <s v="Electronics"/>
    <n v="10"/>
    <n v="18240"/>
    <n v="11673"/>
    <n v="6567"/>
    <n v="0.36003289473684208"/>
    <x v="0"/>
  </r>
  <r>
    <n v="164"/>
    <d v="2025-06-30T00:00:00"/>
    <s v="Customer_7"/>
    <s v="Desk"/>
    <s v="Furniture"/>
    <n v="10"/>
    <n v="12420"/>
    <n v="9811"/>
    <n v="2609"/>
    <n v="0.21006441223832528"/>
    <x v="3"/>
  </r>
  <r>
    <n v="165"/>
    <d v="2025-04-07T00:00:00"/>
    <s v="Customer_34"/>
    <s v="Jeans"/>
    <s v="Clothing"/>
    <n v="3"/>
    <n v="312"/>
    <n v="255"/>
    <n v="57"/>
    <n v="0.18269230769230768"/>
    <x v="3"/>
  </r>
  <r>
    <n v="166"/>
    <d v="2025-10-29T00:00:00"/>
    <s v="Customer_29"/>
    <s v="Shirt"/>
    <s v="Clothing"/>
    <n v="3"/>
    <n v="4734"/>
    <n v="3645"/>
    <n v="1089"/>
    <n v="0.23003802281368821"/>
    <x v="2"/>
  </r>
  <r>
    <n v="167"/>
    <d v="2025-09-21T00:00:00"/>
    <s v="Customer_30"/>
    <s v="Phone"/>
    <s v="Electronics"/>
    <n v="3"/>
    <n v="4455"/>
    <n v="3073"/>
    <n v="1382"/>
    <n v="0.31021324354657687"/>
    <x v="3"/>
  </r>
  <r>
    <n v="168"/>
    <d v="2025-05-10T00:00:00"/>
    <s v="Customer_13"/>
    <s v="Headphones"/>
    <s v="Electronics"/>
    <n v="2"/>
    <n v="1820"/>
    <n v="1001"/>
    <n v="819"/>
    <n v="0.45"/>
    <x v="1"/>
  </r>
  <r>
    <n v="169"/>
    <d v="2025-11-28T00:00:00"/>
    <s v="Customer_2"/>
    <s v="Desk"/>
    <s v="Furniture"/>
    <n v="5"/>
    <n v="6645"/>
    <n v="4917"/>
    <n v="1728"/>
    <n v="0.2600451467268623"/>
    <x v="1"/>
  </r>
  <r>
    <n v="170"/>
    <d v="2025-06-02T00:00:00"/>
    <s v="Customer_23"/>
    <s v="Headphones"/>
    <s v="Electronics"/>
    <n v="1"/>
    <n v="121"/>
    <n v="82"/>
    <n v="39"/>
    <n v="0.32231404958677684"/>
    <x v="0"/>
  </r>
  <r>
    <n v="171"/>
    <d v="2025-09-29T00:00:00"/>
    <s v="Customer_30"/>
    <s v="Laptop"/>
    <s v="Electronics"/>
    <n v="10"/>
    <n v="19480"/>
    <n v="11882"/>
    <n v="7598"/>
    <n v="0.39004106776180697"/>
    <x v="1"/>
  </r>
  <r>
    <n v="172"/>
    <d v="2025-01-30T00:00:00"/>
    <s v="Customer_40"/>
    <s v="Jeans"/>
    <s v="Clothing"/>
    <n v="4"/>
    <n v="1676"/>
    <n v="1139"/>
    <n v="537"/>
    <n v="0.3204057279236277"/>
    <x v="2"/>
  </r>
  <r>
    <n v="173"/>
    <d v="2025-05-30T00:00:00"/>
    <s v="Customer_13"/>
    <s v="Desk"/>
    <s v="Furniture"/>
    <n v="3"/>
    <n v="1101"/>
    <n v="924"/>
    <n v="177"/>
    <n v="0.16076294277929154"/>
    <x v="0"/>
  </r>
  <r>
    <n v="174"/>
    <d v="2025-10-20T00:00:00"/>
    <s v="Customer_28"/>
    <s v="Chair"/>
    <s v="Furniture"/>
    <n v="3"/>
    <n v="4173"/>
    <n v="2587"/>
    <n v="1586"/>
    <n v="0.38006230529595014"/>
    <x v="3"/>
  </r>
  <r>
    <n v="175"/>
    <d v="2025-06-09T00:00:00"/>
    <s v="Customer_16"/>
    <s v="Laptop"/>
    <s v="Electronics"/>
    <n v="7"/>
    <n v="7973"/>
    <n v="6059"/>
    <n v="1914"/>
    <n v="0.24006020318575191"/>
    <x v="1"/>
  </r>
  <r>
    <n v="176"/>
    <d v="2025-11-04T00:00:00"/>
    <s v="Customer_38"/>
    <s v="Desk"/>
    <s v="Furniture"/>
    <n v="10"/>
    <n v="4910"/>
    <n v="3584"/>
    <n v="1326"/>
    <n v="0.27006109979633403"/>
    <x v="0"/>
  </r>
  <r>
    <n v="177"/>
    <d v="2025-03-06T00:00:00"/>
    <s v="Customer_30"/>
    <s v="Headphones"/>
    <s v="Electronics"/>
    <n v="9"/>
    <n v="9207"/>
    <n v="7089"/>
    <n v="2118"/>
    <n v="0.23004235907461715"/>
    <x v="3"/>
  </r>
  <r>
    <n v="178"/>
    <d v="2025-03-02T00:00:00"/>
    <s v="Customer_21"/>
    <s v="Jeans"/>
    <s v="Clothing"/>
    <n v="6"/>
    <n v="3864"/>
    <n v="2241"/>
    <n v="1623"/>
    <n v="0.42003105590062112"/>
    <x v="3"/>
  </r>
  <r>
    <n v="179"/>
    <d v="2025-12-03T00:00:00"/>
    <s v="Customer_10"/>
    <s v="Jeans"/>
    <s v="Clothing"/>
    <n v="4"/>
    <n v="4664"/>
    <n v="2611"/>
    <n v="2053"/>
    <n v="0.440180102915952"/>
    <x v="2"/>
  </r>
  <r>
    <n v="180"/>
    <d v="2025-01-03T00:00:00"/>
    <s v="Customer_9"/>
    <s v="Shoes"/>
    <s v="Clothing"/>
    <n v="3"/>
    <n v="5202"/>
    <n v="4109"/>
    <n v="1093"/>
    <n v="0.2101114955786236"/>
    <x v="2"/>
  </r>
  <r>
    <n v="181"/>
    <d v="2025-02-23T00:00:00"/>
    <s v="Customer_8"/>
    <s v="Desk"/>
    <s v="Furniture"/>
    <n v="10"/>
    <n v="19870"/>
    <n v="16889"/>
    <n v="2981"/>
    <n v="0.15002516356316054"/>
    <x v="3"/>
  </r>
  <r>
    <n v="182"/>
    <d v="2025-05-03T00:00:00"/>
    <s v="Customer_5"/>
    <s v="Phone"/>
    <s v="Electronics"/>
    <n v="9"/>
    <n v="5499"/>
    <n v="3959"/>
    <n v="1540"/>
    <n v="0.2800509183487907"/>
    <x v="2"/>
  </r>
  <r>
    <n v="183"/>
    <d v="2025-04-17T00:00:00"/>
    <s v="Customer_40"/>
    <s v="Headphones"/>
    <s v="Electronics"/>
    <n v="6"/>
    <n v="8040"/>
    <n v="6512"/>
    <n v="1528"/>
    <n v="0.1900497512437811"/>
    <x v="3"/>
  </r>
  <r>
    <n v="184"/>
    <d v="2025-05-13T00:00:00"/>
    <s v="Customer_4"/>
    <s v="Laptop"/>
    <s v="Electronics"/>
    <n v="8"/>
    <n v="5328"/>
    <n v="3409"/>
    <n v="1919"/>
    <n v="0.36017267267267267"/>
    <x v="0"/>
  </r>
  <r>
    <n v="185"/>
    <d v="2025-02-21T00:00:00"/>
    <s v="Customer_29"/>
    <s v="Shirt"/>
    <s v="Clothing"/>
    <n v="4"/>
    <n v="7428"/>
    <n v="4159"/>
    <n v="3269"/>
    <n v="0.44009154550350027"/>
    <x v="1"/>
  </r>
  <r>
    <n v="186"/>
    <d v="2025-06-17T00:00:00"/>
    <s v="Customer_13"/>
    <s v="Phone"/>
    <s v="Electronics"/>
    <n v="4"/>
    <n v="4224"/>
    <n v="3505"/>
    <n v="719"/>
    <n v="0.17021780303030304"/>
    <x v="3"/>
  </r>
  <r>
    <n v="187"/>
    <d v="2025-10-25T00:00:00"/>
    <s v="Customer_20"/>
    <s v="Desk"/>
    <s v="Furniture"/>
    <n v="7"/>
    <n v="7392"/>
    <n v="5174"/>
    <n v="2218"/>
    <n v="0.30005411255411257"/>
    <x v="0"/>
  </r>
  <r>
    <n v="188"/>
    <d v="2025-03-09T00:00:00"/>
    <s v="Customer_25"/>
    <s v="Shoes"/>
    <s v="Clothing"/>
    <n v="9"/>
    <n v="15273"/>
    <n v="10691"/>
    <n v="4582"/>
    <n v="0.30000654750212796"/>
    <x v="0"/>
  </r>
  <r>
    <n v="189"/>
    <d v="2025-03-12T00:00:00"/>
    <s v="Customer_31"/>
    <s v="Phone"/>
    <s v="Electronics"/>
    <n v="5"/>
    <n v="2180"/>
    <n v="1853"/>
    <n v="327"/>
    <n v="0.15"/>
    <x v="0"/>
  </r>
  <r>
    <n v="190"/>
    <d v="2025-01-27T00:00:00"/>
    <s v="Customer_26"/>
    <s v="Shirt"/>
    <s v="Clothing"/>
    <n v="7"/>
    <n v="1463"/>
    <n v="1111"/>
    <n v="352"/>
    <n v="0.24060150375939848"/>
    <x v="0"/>
  </r>
  <r>
    <n v="191"/>
    <d v="2025-07-16T00:00:00"/>
    <s v="Customer_36"/>
    <s v="Chair"/>
    <s v="Furniture"/>
    <n v="8"/>
    <n v="2888"/>
    <n v="1848"/>
    <n v="1040"/>
    <n v="0.36011080332409973"/>
    <x v="0"/>
  </r>
  <r>
    <n v="192"/>
    <d v="2025-02-02T00:00:00"/>
    <s v="Customer_18"/>
    <s v="Shirt"/>
    <s v="Clothing"/>
    <n v="2"/>
    <n v="974"/>
    <n v="574"/>
    <n v="400"/>
    <n v="0.41067761806981518"/>
    <x v="0"/>
  </r>
  <r>
    <n v="193"/>
    <d v="2025-11-15T00:00:00"/>
    <s v="Customer_18"/>
    <s v="Chair"/>
    <s v="Furniture"/>
    <n v="4"/>
    <n v="6444"/>
    <n v="4704"/>
    <n v="1740"/>
    <n v="0.27001862197392923"/>
    <x v="3"/>
  </r>
  <r>
    <n v="194"/>
    <d v="2025-04-19T00:00:00"/>
    <s v="Customer_7"/>
    <s v="Desk"/>
    <s v="Furniture"/>
    <n v="2"/>
    <n v="3572"/>
    <n v="2214"/>
    <n v="1358"/>
    <n v="0.38017917133258677"/>
    <x v="0"/>
  </r>
  <r>
    <n v="195"/>
    <d v="2025-09-11T00:00:00"/>
    <s v="Customer_24"/>
    <s v="Jeans"/>
    <s v="Clothing"/>
    <n v="4"/>
    <n v="4048"/>
    <n v="2914"/>
    <n v="1134"/>
    <n v="0.28013833992094861"/>
    <x v="2"/>
  </r>
  <r>
    <n v="196"/>
    <d v="2025-05-21T00:00:00"/>
    <s v="Customer_38"/>
    <s v="Shoes"/>
    <s v="Clothing"/>
    <n v="9"/>
    <n v="2673"/>
    <n v="2084"/>
    <n v="589"/>
    <n v="0.22035166479610924"/>
    <x v="2"/>
  </r>
  <r>
    <n v="197"/>
    <d v="2025-04-21T00:00:00"/>
    <s v="Customer_30"/>
    <s v="Desk"/>
    <s v="Furniture"/>
    <n v="5"/>
    <n v="7820"/>
    <n v="5161"/>
    <n v="2659"/>
    <n v="0.34002557544757034"/>
    <x v="2"/>
  </r>
  <r>
    <n v="198"/>
    <d v="2025-03-18T00:00:00"/>
    <s v="Customer_32"/>
    <s v="Laptop"/>
    <s v="Electronics"/>
    <n v="6"/>
    <n v="7620"/>
    <n v="4495"/>
    <n v="3125"/>
    <n v="0.41010498687664043"/>
    <x v="1"/>
  </r>
  <r>
    <n v="199"/>
    <d v="2025-05-31T00:00:00"/>
    <s v="Customer_2"/>
    <s v="Shoes"/>
    <s v="Clothing"/>
    <n v="3"/>
    <n v="3357"/>
    <n v="2786"/>
    <n v="571"/>
    <n v="0.17009234435507894"/>
    <x v="0"/>
  </r>
  <r>
    <n v="200"/>
    <d v="2025-02-04T00:00:00"/>
    <s v="Customer_13"/>
    <s v="Headphones"/>
    <s v="Electronics"/>
    <n v="5"/>
    <n v="5605"/>
    <n v="4596"/>
    <n v="1009"/>
    <n v="0.1800178412132025"/>
    <x v="2"/>
  </r>
  <r>
    <n v="201"/>
    <d v="2025-04-27T00:00:00"/>
    <s v="Customer_3"/>
    <s v="Phone"/>
    <s v="Electronics"/>
    <n v="2"/>
    <n v="978"/>
    <n v="577"/>
    <n v="401"/>
    <n v="0.41002044989775049"/>
    <x v="2"/>
  </r>
  <r>
    <n v="202"/>
    <d v="2025-11-21T00:00:00"/>
    <s v="Customer_11"/>
    <s v="Laptop"/>
    <s v="Electronics"/>
    <n v="7"/>
    <n v="7798"/>
    <n v="5224"/>
    <n v="2574"/>
    <n v="0.33008463708643243"/>
    <x v="2"/>
  </r>
  <r>
    <n v="203"/>
    <d v="2025-12-17T00:00:00"/>
    <s v="Customer_36"/>
    <s v="Headphones"/>
    <s v="Electronics"/>
    <n v="9"/>
    <n v="8073"/>
    <n v="6054"/>
    <n v="2019"/>
    <n v="0.2500929022668153"/>
    <x v="3"/>
  </r>
  <r>
    <n v="204"/>
    <d v="2025-11-01T00:00:00"/>
    <s v="Customer_30"/>
    <s v="Jeans"/>
    <s v="Clothing"/>
    <n v="6"/>
    <n v="8148"/>
    <n v="6273"/>
    <n v="1875"/>
    <n v="0.23011782032400588"/>
    <x v="0"/>
  </r>
  <r>
    <n v="205"/>
    <d v="2025-03-14T00:00:00"/>
    <s v="Customer_12"/>
    <s v="Chair"/>
    <s v="Furniture"/>
    <n v="4"/>
    <n v="5388"/>
    <n v="4579"/>
    <n v="809"/>
    <n v="0.15014847809948031"/>
    <x v="0"/>
  </r>
  <r>
    <n v="206"/>
    <d v="2025-09-09T00:00:00"/>
    <s v="Customer_12"/>
    <s v="Laptop"/>
    <s v="Electronics"/>
    <n v="1"/>
    <n v="468"/>
    <n v="290"/>
    <n v="178"/>
    <n v="0.38034188034188032"/>
    <x v="2"/>
  </r>
  <r>
    <n v="207"/>
    <d v="2025-11-29T00:00:00"/>
    <s v="Customer_22"/>
    <s v="Phone"/>
    <s v="Electronics"/>
    <n v="5"/>
    <n v="4385"/>
    <n v="2455"/>
    <n v="1930"/>
    <n v="0.44013683010262256"/>
    <x v="0"/>
  </r>
  <r>
    <n v="208"/>
    <d v="2025-12-18T00:00:00"/>
    <s v="Customer_10"/>
    <s v="Laptop"/>
    <s v="Electronics"/>
    <n v="4"/>
    <n v="4844"/>
    <n v="3487"/>
    <n v="1357"/>
    <n v="0.28014037985136253"/>
    <x v="2"/>
  </r>
  <r>
    <n v="209"/>
    <d v="2025-02-22T00:00:00"/>
    <s v="Customer_26"/>
    <s v="Desk"/>
    <s v="Furniture"/>
    <n v="6"/>
    <n v="7236"/>
    <n v="4196"/>
    <n v="3040"/>
    <n v="0.42012161415146487"/>
    <x v="1"/>
  </r>
  <r>
    <n v="210"/>
    <d v="2025-02-01T00:00:00"/>
    <s v="Customer_22"/>
    <s v="Headphones"/>
    <s v="Electronics"/>
    <n v="7"/>
    <n v="13139"/>
    <n v="9328"/>
    <n v="3811"/>
    <n v="0.29005251541213184"/>
    <x v="0"/>
  </r>
  <r>
    <n v="211"/>
    <d v="2025-08-14T00:00:00"/>
    <s v="Customer_29"/>
    <s v="Phone"/>
    <s v="Electronics"/>
    <n v="9"/>
    <n v="7119"/>
    <n v="5766"/>
    <n v="1353"/>
    <n v="0.19005478297513695"/>
    <x v="3"/>
  </r>
  <r>
    <n v="212"/>
    <d v="2025-10-01T00:00:00"/>
    <s v="Customer_27"/>
    <s v="Jeans"/>
    <s v="Clothing"/>
    <n v="6"/>
    <n v="11040"/>
    <n v="9384"/>
    <n v="1656"/>
    <n v="0.15"/>
    <x v="0"/>
  </r>
  <r>
    <n v="213"/>
    <d v="2025-05-07T00:00:00"/>
    <s v="Customer_37"/>
    <s v="Chair"/>
    <s v="Furniture"/>
    <n v="7"/>
    <n v="924"/>
    <n v="554"/>
    <n v="370"/>
    <n v="0.40043290043290042"/>
    <x v="2"/>
  </r>
  <r>
    <n v="214"/>
    <d v="2025-10-25T00:00:00"/>
    <s v="Customer_37"/>
    <s v="Chair"/>
    <s v="Furniture"/>
    <n v="1"/>
    <n v="1988"/>
    <n v="1312"/>
    <n v="676"/>
    <n v="0.34004024144869216"/>
    <x v="3"/>
  </r>
  <r>
    <n v="215"/>
    <d v="2025-08-20T00:00:00"/>
    <s v="Customer_5"/>
    <s v="Jeans"/>
    <s v="Clothing"/>
    <n v="5"/>
    <n v="2985"/>
    <n v="2447"/>
    <n v="538"/>
    <n v="0.18023450586264655"/>
    <x v="3"/>
  </r>
  <r>
    <n v="216"/>
    <d v="2025-05-10T00:00:00"/>
    <s v="Customer_19"/>
    <s v="Shirt"/>
    <s v="Clothing"/>
    <n v="7"/>
    <n v="9471"/>
    <n v="5587"/>
    <n v="3884"/>
    <n v="0.41009397106958084"/>
    <x v="0"/>
  </r>
  <r>
    <n v="217"/>
    <d v="2025-08-27T00:00:00"/>
    <s v="Customer_19"/>
    <s v="Phone"/>
    <s v="Electronics"/>
    <n v="1"/>
    <n v="1346"/>
    <n v="1063"/>
    <n v="283"/>
    <n v="0.21025260029717682"/>
    <x v="2"/>
  </r>
  <r>
    <n v="218"/>
    <d v="2025-05-04T00:00:00"/>
    <s v="Customer_12"/>
    <s v="Jeans"/>
    <s v="Clothing"/>
    <n v="6"/>
    <n v="828"/>
    <n v="521"/>
    <n v="307"/>
    <n v="0.37077294685990336"/>
    <x v="3"/>
  </r>
  <r>
    <n v="219"/>
    <d v="2025-02-09T00:00:00"/>
    <s v="Customer_27"/>
    <s v="Headphones"/>
    <s v="Electronics"/>
    <n v="2"/>
    <n v="2576"/>
    <n v="1828"/>
    <n v="748"/>
    <n v="0.29037267080745344"/>
    <x v="1"/>
  </r>
  <r>
    <n v="220"/>
    <d v="2025-02-05T00:00:00"/>
    <s v="Customer_15"/>
    <s v="Phone"/>
    <s v="Electronics"/>
    <n v="3"/>
    <n v="2217"/>
    <n v="1596"/>
    <n v="621"/>
    <n v="0.28010825439783493"/>
    <x v="3"/>
  </r>
  <r>
    <n v="221"/>
    <d v="2025-03-22T00:00:00"/>
    <s v="Customer_7"/>
    <s v="Headphones"/>
    <s v="Electronics"/>
    <n v="4"/>
    <n v="7080"/>
    <n v="5522"/>
    <n v="1558"/>
    <n v="0.22005649717514125"/>
    <x v="0"/>
  </r>
  <r>
    <n v="222"/>
    <d v="2025-06-03T00:00:00"/>
    <s v="Customer_35"/>
    <s v="Chair"/>
    <s v="Furniture"/>
    <n v="4"/>
    <n v="5224"/>
    <n v="3395"/>
    <n v="1829"/>
    <n v="0.35011485451761104"/>
    <x v="3"/>
  </r>
  <r>
    <n v="223"/>
    <d v="2025-12-16T00:00:00"/>
    <s v="Customer_36"/>
    <s v="Phone"/>
    <s v="Electronics"/>
    <n v="3"/>
    <n v="3531"/>
    <n v="3001"/>
    <n v="530"/>
    <n v="0.15009912206173889"/>
    <x v="2"/>
  </r>
  <r>
    <n v="224"/>
    <d v="2025-07-23T00:00:00"/>
    <s v="Customer_38"/>
    <s v="Jeans"/>
    <s v="Clothing"/>
    <n v="6"/>
    <n v="1398"/>
    <n v="768"/>
    <n v="630"/>
    <n v="0.45064377682403434"/>
    <x v="1"/>
  </r>
  <r>
    <n v="225"/>
    <d v="2025-02-14T00:00:00"/>
    <s v="Customer_14"/>
    <s v="Shirt"/>
    <s v="Clothing"/>
    <n v="3"/>
    <n v="5829"/>
    <n v="4138"/>
    <n v="1691"/>
    <n v="0.29010121804769257"/>
    <x v="0"/>
  </r>
  <r>
    <n v="226"/>
    <d v="2025-09-01T00:00:00"/>
    <s v="Customer_23"/>
    <s v="Jeans"/>
    <s v="Clothing"/>
    <n v="9"/>
    <n v="8793"/>
    <n v="5979"/>
    <n v="2814"/>
    <n v="0.3200272944387581"/>
    <x v="2"/>
  </r>
  <r>
    <n v="227"/>
    <d v="2025-05-29T00:00:00"/>
    <s v="Customer_27"/>
    <s v="Jeans"/>
    <s v="Clothing"/>
    <n v="4"/>
    <n v="6540"/>
    <n v="5166"/>
    <n v="1374"/>
    <n v="0.21009174311926607"/>
    <x v="1"/>
  </r>
  <r>
    <n v="228"/>
    <d v="2025-05-31T00:00:00"/>
    <s v="Customer_12"/>
    <s v="Phone"/>
    <s v="Electronics"/>
    <n v="2"/>
    <n v="2022"/>
    <n v="1233"/>
    <n v="789"/>
    <n v="0.39020771513353114"/>
    <x v="2"/>
  </r>
  <r>
    <n v="229"/>
    <d v="2025-06-20T00:00:00"/>
    <s v="Customer_3"/>
    <s v="Headphones"/>
    <s v="Electronics"/>
    <n v="5"/>
    <n v="7705"/>
    <n v="6472"/>
    <n v="1233"/>
    <n v="0.16002595717066839"/>
    <x v="3"/>
  </r>
  <r>
    <n v="230"/>
    <d v="2025-10-07T00:00:00"/>
    <s v="Customer_19"/>
    <s v="Desk"/>
    <s v="Furniture"/>
    <n v="1"/>
    <n v="1973"/>
    <n v="1085"/>
    <n v="888"/>
    <n v="0.45007602635580335"/>
    <x v="2"/>
  </r>
  <r>
    <n v="231"/>
    <d v="2025-05-23T00:00:00"/>
    <s v="Customer_29"/>
    <s v="Chair"/>
    <s v="Furniture"/>
    <n v="9"/>
    <n v="9747"/>
    <n v="7602"/>
    <n v="2145"/>
    <n v="0.22006771314250539"/>
    <x v="0"/>
  </r>
  <r>
    <n v="232"/>
    <d v="2025-08-17T00:00:00"/>
    <s v="Customer_28"/>
    <s v="Chair"/>
    <s v="Furniture"/>
    <n v="9"/>
    <n v="2349"/>
    <n v="1926"/>
    <n v="423"/>
    <n v="0.18007662835249041"/>
    <x v="3"/>
  </r>
  <r>
    <n v="233"/>
    <d v="2025-09-20T00:00:00"/>
    <s v="Customer_33"/>
    <s v="Shoes"/>
    <s v="Clothing"/>
    <n v="10"/>
    <n v="14190"/>
    <n v="10074"/>
    <n v="4116"/>
    <n v="0.29006342494714588"/>
    <x v="2"/>
  </r>
  <r>
    <n v="234"/>
    <d v="2025-03-31T00:00:00"/>
    <s v="Customer_24"/>
    <s v="Shirt"/>
    <s v="Clothing"/>
    <n v="9"/>
    <n v="12978"/>
    <n v="7267"/>
    <n v="5711"/>
    <n v="0.44005239636307597"/>
    <x v="0"/>
  </r>
  <r>
    <n v="235"/>
    <d v="2025-04-12T00:00:00"/>
    <s v="Customer_15"/>
    <s v="Phone"/>
    <s v="Electronics"/>
    <n v="4"/>
    <n v="1844"/>
    <n v="1567"/>
    <n v="277"/>
    <n v="0.15021691973969631"/>
    <x v="3"/>
  </r>
  <r>
    <n v="236"/>
    <d v="2025-04-14T00:00:00"/>
    <s v="Customer_17"/>
    <s v="Shoes"/>
    <s v="Clothing"/>
    <n v="4"/>
    <n v="3592"/>
    <n v="2658"/>
    <n v="934"/>
    <n v="0.26002227171492204"/>
    <x v="1"/>
  </r>
  <r>
    <n v="237"/>
    <d v="2025-09-10T00:00:00"/>
    <s v="Customer_2"/>
    <s v="Headphones"/>
    <s v="Electronics"/>
    <n v="3"/>
    <n v="1458"/>
    <n v="1064"/>
    <n v="394"/>
    <n v="0.27023319615912206"/>
    <x v="3"/>
  </r>
  <r>
    <n v="238"/>
    <d v="2025-03-06T00:00:00"/>
    <s v="Customer_24"/>
    <s v="Shoes"/>
    <s v="Clothing"/>
    <n v="4"/>
    <n v="4388"/>
    <n v="3378"/>
    <n v="1010"/>
    <n v="0.2301731996353692"/>
    <x v="2"/>
  </r>
  <r>
    <n v="239"/>
    <d v="2025-12-26T00:00:00"/>
    <s v="Customer_4"/>
    <s v="Headphones"/>
    <s v="Electronics"/>
    <n v="2"/>
    <n v="2246"/>
    <n v="1864"/>
    <n v="382"/>
    <n v="0.17008014247551201"/>
    <x v="1"/>
  </r>
  <r>
    <n v="240"/>
    <d v="2025-08-08T00:00:00"/>
    <s v="Customer_31"/>
    <s v="Shirt"/>
    <s v="Clothing"/>
    <n v="5"/>
    <n v="4580"/>
    <n v="3389"/>
    <n v="1191"/>
    <n v="0.26004366812227075"/>
    <x v="3"/>
  </r>
  <r>
    <n v="241"/>
    <d v="2025-04-02T00:00:00"/>
    <s v="Customer_27"/>
    <s v="Jeans"/>
    <s v="Clothing"/>
    <n v="3"/>
    <n v="636"/>
    <n v="470"/>
    <n v="166"/>
    <n v="0.2610062893081761"/>
    <x v="0"/>
  </r>
  <r>
    <n v="242"/>
    <d v="2025-06-30T00:00:00"/>
    <s v="Customer_35"/>
    <s v="Laptop"/>
    <s v="Electronics"/>
    <n v="9"/>
    <n v="8397"/>
    <n v="5206"/>
    <n v="3191"/>
    <n v="0.38001667262117422"/>
    <x v="3"/>
  </r>
  <r>
    <n v="243"/>
    <d v="2025-12-12T00:00:00"/>
    <s v="Customer_38"/>
    <s v="Headphones"/>
    <s v="Electronics"/>
    <n v="6"/>
    <n v="9018"/>
    <n v="5591"/>
    <n v="3427"/>
    <n v="0.38001774229319141"/>
    <x v="2"/>
  </r>
  <r>
    <n v="244"/>
    <d v="2025-02-09T00:00:00"/>
    <s v="Customer_31"/>
    <s v="Desk"/>
    <s v="Furniture"/>
    <n v="10"/>
    <n v="14640"/>
    <n v="11126"/>
    <n v="3514"/>
    <n v="0.24002732240437158"/>
    <x v="2"/>
  </r>
  <r>
    <n v="245"/>
    <d v="2025-07-06T00:00:00"/>
    <s v="Customer_32"/>
    <s v="Laptop"/>
    <s v="Electronics"/>
    <n v="9"/>
    <n v="1665"/>
    <n v="1032"/>
    <n v="633"/>
    <n v="0.38018018018018018"/>
    <x v="1"/>
  </r>
  <r>
    <n v="246"/>
    <d v="2025-11-10T00:00:00"/>
    <s v="Customer_37"/>
    <s v="Chair"/>
    <s v="Furniture"/>
    <n v="5"/>
    <n v="2810"/>
    <n v="2079"/>
    <n v="731"/>
    <n v="0.26014234875444842"/>
    <x v="0"/>
  </r>
  <r>
    <n v="247"/>
    <d v="2025-06-23T00:00:00"/>
    <s v="Customer_28"/>
    <s v="Jeans"/>
    <s v="Clothing"/>
    <n v="2"/>
    <n v="3984"/>
    <n v="2470"/>
    <n v="1514"/>
    <n v="0.38002008032128515"/>
    <x v="3"/>
  </r>
  <r>
    <n v="248"/>
    <d v="2025-01-25T00:00:00"/>
    <s v="Customer_16"/>
    <s v="Jeans"/>
    <s v="Clothing"/>
    <n v="2"/>
    <n v="1512"/>
    <n v="1118"/>
    <n v="394"/>
    <n v="0.26058201058201058"/>
    <x v="2"/>
  </r>
  <r>
    <n v="249"/>
    <d v="2025-06-07T00:00:00"/>
    <s v="Customer_4"/>
    <s v="Chair"/>
    <s v="Furniture"/>
    <n v="4"/>
    <n v="4728"/>
    <n v="3120"/>
    <n v="1608"/>
    <n v="0.34010152284263961"/>
    <x v="0"/>
  </r>
  <r>
    <n v="250"/>
    <d v="2025-05-02T00:00:00"/>
    <s v="Customer_14"/>
    <s v="Shoes"/>
    <s v="Clothing"/>
    <n v="6"/>
    <n v="11514"/>
    <n v="7368"/>
    <n v="4146"/>
    <n v="0.36008337675872848"/>
    <x v="2"/>
  </r>
  <r>
    <n v="251"/>
    <d v="2025-06-01T00:00:00"/>
    <s v="Customer_14"/>
    <s v="Shoes"/>
    <s v="Clothing"/>
    <n v="10"/>
    <n v="6430"/>
    <n v="4243"/>
    <n v="2187"/>
    <n v="0.34012441679626748"/>
    <x v="2"/>
  </r>
  <r>
    <n v="252"/>
    <d v="2025-01-16T00:00:00"/>
    <s v="Customer_19"/>
    <s v="Laptop"/>
    <s v="Electronics"/>
    <n v="1"/>
    <n v="833"/>
    <n v="583"/>
    <n v="250"/>
    <n v="0.30012004801920766"/>
    <x v="1"/>
  </r>
  <r>
    <n v="253"/>
    <d v="2025-03-17T00:00:00"/>
    <s v="Customer_34"/>
    <s v="Chair"/>
    <s v="Furniture"/>
    <n v="4"/>
    <n v="4876"/>
    <n v="3510"/>
    <n v="1366"/>
    <n v="0.28014766201804758"/>
    <x v="0"/>
  </r>
  <r>
    <n v="254"/>
    <d v="2025-07-15T00:00:00"/>
    <s v="Customer_12"/>
    <s v="Desk"/>
    <s v="Furniture"/>
    <n v="5"/>
    <n v="6005"/>
    <n v="3422"/>
    <n v="2583"/>
    <n v="0.43014154870940885"/>
    <x v="1"/>
  </r>
  <r>
    <n v="255"/>
    <d v="2025-06-20T00:00:00"/>
    <s v="Customer_37"/>
    <s v="Laptop"/>
    <s v="Electronics"/>
    <n v="2"/>
    <n v="1064"/>
    <n v="734"/>
    <n v="330"/>
    <n v="0.31015037593984962"/>
    <x v="1"/>
  </r>
  <r>
    <n v="256"/>
    <d v="2025-09-12T00:00:00"/>
    <s v="Customer_22"/>
    <s v="Shoes"/>
    <s v="Clothing"/>
    <n v="3"/>
    <n v="2565"/>
    <n v="1564"/>
    <n v="1001"/>
    <n v="0.39025341130604291"/>
    <x v="2"/>
  </r>
  <r>
    <n v="257"/>
    <d v="2025-03-02T00:00:00"/>
    <s v="Customer_15"/>
    <s v="Headphones"/>
    <s v="Electronics"/>
    <n v="1"/>
    <n v="1872"/>
    <n v="1048"/>
    <n v="824"/>
    <n v="0.44017094017094016"/>
    <x v="0"/>
  </r>
  <r>
    <n v="258"/>
    <d v="2025-11-11T00:00:00"/>
    <s v="Customer_5"/>
    <s v="Shoes"/>
    <s v="Clothing"/>
    <n v="10"/>
    <n v="16650"/>
    <n v="12654"/>
    <n v="3996"/>
    <n v="0.24"/>
    <x v="2"/>
  </r>
  <r>
    <n v="259"/>
    <d v="2025-01-08T00:00:00"/>
    <s v="Customer_40"/>
    <s v="Jeans"/>
    <s v="Clothing"/>
    <n v="2"/>
    <n v="3666"/>
    <n v="2749"/>
    <n v="917"/>
    <n v="0.25013638843426078"/>
    <x v="2"/>
  </r>
  <r>
    <n v="260"/>
    <d v="2025-03-04T00:00:00"/>
    <s v="Customer_4"/>
    <s v="Shirt"/>
    <s v="Clothing"/>
    <n v="7"/>
    <n v="10850"/>
    <n v="6184"/>
    <n v="4666"/>
    <n v="0.43004608294930874"/>
    <x v="3"/>
  </r>
  <r>
    <n v="261"/>
    <d v="2025-02-24T00:00:00"/>
    <s v="Customer_12"/>
    <s v="Chair"/>
    <s v="Furniture"/>
    <n v="8"/>
    <n v="12272"/>
    <n v="7485"/>
    <n v="4787"/>
    <n v="0.39007496740547587"/>
    <x v="2"/>
  </r>
  <r>
    <n v="262"/>
    <d v="2025-08-13T00:00:00"/>
    <s v="Customer_1"/>
    <s v="Jeans"/>
    <s v="Clothing"/>
    <n v="10"/>
    <n v="11930"/>
    <n v="9066"/>
    <n v="2864"/>
    <n v="0.24006705783738475"/>
    <x v="3"/>
  </r>
  <r>
    <n v="263"/>
    <d v="2025-02-15T00:00:00"/>
    <s v="Customer_13"/>
    <s v="Jeans"/>
    <s v="Clothing"/>
    <n v="9"/>
    <n v="2475"/>
    <n v="1757"/>
    <n v="718"/>
    <n v="0.29010101010101008"/>
    <x v="2"/>
  </r>
  <r>
    <n v="264"/>
    <d v="2025-02-27T00:00:00"/>
    <s v="Customer_27"/>
    <s v="Chair"/>
    <s v="Furniture"/>
    <n v="3"/>
    <n v="1005"/>
    <n v="854"/>
    <n v="151"/>
    <n v="0.15024875621890546"/>
    <x v="3"/>
  </r>
  <r>
    <n v="265"/>
    <d v="2025-02-01T00:00:00"/>
    <s v="Customer_35"/>
    <s v="Chair"/>
    <s v="Furniture"/>
    <n v="7"/>
    <n v="13720"/>
    <n v="10701"/>
    <n v="3019"/>
    <n v="0.22004373177842565"/>
    <x v="3"/>
  </r>
  <r>
    <n v="266"/>
    <d v="2025-01-22T00:00:00"/>
    <s v="Customer_2"/>
    <s v="Desk"/>
    <s v="Furniture"/>
    <n v="2"/>
    <n v="1890"/>
    <n v="1455"/>
    <n v="435"/>
    <n v="0.23015873015873015"/>
    <x v="1"/>
  </r>
  <r>
    <n v="267"/>
    <d v="2025-12-04T00:00:00"/>
    <s v="Customer_29"/>
    <s v="Shirt"/>
    <s v="Clothing"/>
    <n v="10"/>
    <n v="1480"/>
    <n v="1213"/>
    <n v="267"/>
    <n v="0.18040540540540539"/>
    <x v="1"/>
  </r>
  <r>
    <n v="268"/>
    <d v="2025-04-13T00:00:00"/>
    <s v="Customer_27"/>
    <s v="Chair"/>
    <s v="Furniture"/>
    <n v="7"/>
    <n v="6279"/>
    <n v="4458"/>
    <n v="1821"/>
    <n v="0.29001433349259437"/>
    <x v="0"/>
  </r>
  <r>
    <n v="269"/>
    <d v="2025-01-01T00:00:00"/>
    <s v="Customer_26"/>
    <s v="Shirt"/>
    <s v="Clothing"/>
    <n v="10"/>
    <n v="3270"/>
    <n v="1896"/>
    <n v="1374"/>
    <n v="0.42018348623853213"/>
    <x v="3"/>
  </r>
  <r>
    <n v="270"/>
    <d v="2025-07-31T00:00:00"/>
    <s v="Customer_31"/>
    <s v="Shirt"/>
    <s v="Clothing"/>
    <n v="6"/>
    <n v="6228"/>
    <n v="3736"/>
    <n v="2492"/>
    <n v="0.40012845215157355"/>
    <x v="2"/>
  </r>
  <r>
    <n v="271"/>
    <d v="2025-04-27T00:00:00"/>
    <s v="Customer_17"/>
    <s v="Desk"/>
    <s v="Furniture"/>
    <n v="8"/>
    <n v="1336"/>
    <n v="988"/>
    <n v="348"/>
    <n v="0.26047904191616766"/>
    <x v="3"/>
  </r>
  <r>
    <n v="272"/>
    <d v="2025-02-02T00:00:00"/>
    <s v="Customer_4"/>
    <s v="Phone"/>
    <s v="Electronics"/>
    <n v="8"/>
    <n v="6624"/>
    <n v="4371"/>
    <n v="2253"/>
    <n v="0.34012681159420288"/>
    <x v="3"/>
  </r>
  <r>
    <n v="273"/>
    <d v="2025-03-25T00:00:00"/>
    <s v="Customer_36"/>
    <s v="Chair"/>
    <s v="Furniture"/>
    <n v="1"/>
    <n v="1954"/>
    <n v="1465"/>
    <n v="489"/>
    <n v="0.25025588536335719"/>
    <x v="0"/>
  </r>
  <r>
    <n v="274"/>
    <d v="2025-11-06T00:00:00"/>
    <s v="Customer_7"/>
    <s v="Jeans"/>
    <s v="Clothing"/>
    <n v="9"/>
    <n v="6066"/>
    <n v="4610"/>
    <n v="1456"/>
    <n v="0.24002637652489284"/>
    <x v="0"/>
  </r>
  <r>
    <n v="275"/>
    <d v="2025-07-26T00:00:00"/>
    <s v="Customer_26"/>
    <s v="Shoes"/>
    <s v="Clothing"/>
    <n v="2"/>
    <n v="3160"/>
    <n v="2370"/>
    <n v="790"/>
    <n v="0.25"/>
    <x v="2"/>
  </r>
  <r>
    <n v="276"/>
    <d v="2025-03-04T00:00:00"/>
    <s v="Customer_3"/>
    <s v="Desk"/>
    <s v="Furniture"/>
    <n v="3"/>
    <n v="2736"/>
    <n v="2134"/>
    <n v="602"/>
    <n v="0.22002923976608188"/>
    <x v="3"/>
  </r>
  <r>
    <n v="277"/>
    <d v="2025-07-26T00:00:00"/>
    <s v="Customer_11"/>
    <s v="Phone"/>
    <s v="Electronics"/>
    <n v="5"/>
    <n v="6195"/>
    <n v="5017"/>
    <n v="1178"/>
    <n v="0.19015334947538337"/>
    <x v="3"/>
  </r>
  <r>
    <n v="278"/>
    <d v="2025-07-06T00:00:00"/>
    <s v="Customer_10"/>
    <s v="Shirt"/>
    <s v="Clothing"/>
    <n v="10"/>
    <n v="17010"/>
    <n v="10206"/>
    <n v="6804"/>
    <n v="0.4"/>
    <x v="1"/>
  </r>
  <r>
    <n v="279"/>
    <d v="2025-12-19T00:00:00"/>
    <s v="Customer_30"/>
    <s v="Laptop"/>
    <s v="Electronics"/>
    <n v="9"/>
    <n v="14166"/>
    <n v="11757"/>
    <n v="2409"/>
    <n v="0.17005506141465482"/>
    <x v="0"/>
  </r>
  <r>
    <n v="280"/>
    <d v="2025-07-10T00:00:00"/>
    <s v="Customer_29"/>
    <s v="Headphones"/>
    <s v="Electronics"/>
    <n v="6"/>
    <n v="2400"/>
    <n v="1848"/>
    <n v="552"/>
    <n v="0.23"/>
    <x v="2"/>
  </r>
  <r>
    <n v="281"/>
    <d v="2025-08-28T00:00:00"/>
    <s v="Customer_5"/>
    <s v="Desk"/>
    <s v="Furniture"/>
    <n v="1"/>
    <n v="1014"/>
    <n v="648"/>
    <n v="366"/>
    <n v="0.36094674556213019"/>
    <x v="1"/>
  </r>
  <r>
    <n v="282"/>
    <d v="2025-04-11T00:00:00"/>
    <s v="Customer_20"/>
    <s v="Desk"/>
    <s v="Furniture"/>
    <n v="5"/>
    <n v="3545"/>
    <n v="2446"/>
    <n v="1099"/>
    <n v="0.31001410437235544"/>
    <x v="3"/>
  </r>
  <r>
    <n v="283"/>
    <d v="2025-02-12T00:00:00"/>
    <s v="Customer_35"/>
    <s v="Shoes"/>
    <s v="Clothing"/>
    <n v="7"/>
    <n v="4998"/>
    <n v="2798"/>
    <n v="2200"/>
    <n v="0.44017607042817125"/>
    <x v="3"/>
  </r>
  <r>
    <n v="284"/>
    <d v="2025-07-19T00:00:00"/>
    <s v="Customer_32"/>
    <s v="Jeans"/>
    <s v="Clothing"/>
    <n v="10"/>
    <n v="10840"/>
    <n v="6720"/>
    <n v="4120"/>
    <n v="0.38007380073800739"/>
    <x v="0"/>
  </r>
  <r>
    <n v="285"/>
    <d v="2025-10-21T00:00:00"/>
    <s v="Customer_2"/>
    <s v="Desk"/>
    <s v="Furniture"/>
    <n v="9"/>
    <n v="3087"/>
    <n v="1883"/>
    <n v="1204"/>
    <n v="0.39002267573696148"/>
    <x v="1"/>
  </r>
  <r>
    <n v="286"/>
    <d v="2025-09-24T00:00:00"/>
    <s v="Customer_39"/>
    <s v="Shoes"/>
    <s v="Clothing"/>
    <n v="7"/>
    <n v="3129"/>
    <n v="2659"/>
    <n v="470"/>
    <n v="0.15020773410035154"/>
    <x v="1"/>
  </r>
  <r>
    <n v="287"/>
    <d v="2025-06-25T00:00:00"/>
    <s v="Customer_22"/>
    <s v="Jeans"/>
    <s v="Clothing"/>
    <n v="10"/>
    <n v="17490"/>
    <n v="11893"/>
    <n v="5597"/>
    <n v="0.32001143510577473"/>
    <x v="3"/>
  </r>
  <r>
    <n v="288"/>
    <d v="2025-10-17T00:00:00"/>
    <s v="Customer_39"/>
    <s v="Headphones"/>
    <s v="Electronics"/>
    <n v="3"/>
    <n v="3975"/>
    <n v="2226"/>
    <n v="1749"/>
    <n v="0.44"/>
    <x v="2"/>
  </r>
  <r>
    <n v="289"/>
    <d v="2025-07-10T00:00:00"/>
    <s v="Customer_26"/>
    <s v="Desk"/>
    <s v="Furniture"/>
    <n v="7"/>
    <n v="10402"/>
    <n v="6553"/>
    <n v="3849"/>
    <n v="0.37002499519323206"/>
    <x v="0"/>
  </r>
  <r>
    <n v="290"/>
    <d v="2025-05-23T00:00:00"/>
    <s v="Customer_11"/>
    <s v="Desk"/>
    <s v="Furniture"/>
    <n v="10"/>
    <n v="15580"/>
    <n v="10750"/>
    <n v="4830"/>
    <n v="0.31001283697047499"/>
    <x v="2"/>
  </r>
  <r>
    <n v="291"/>
    <d v="2025-05-15T00:00:00"/>
    <s v="Customer_5"/>
    <s v="Desk"/>
    <s v="Furniture"/>
    <n v="5"/>
    <n v="5415"/>
    <n v="3140"/>
    <n v="2275"/>
    <n v="0.420129270544783"/>
    <x v="0"/>
  </r>
  <r>
    <n v="292"/>
    <d v="2025-02-16T00:00:00"/>
    <s v="Customer_40"/>
    <s v="Desk"/>
    <s v="Furniture"/>
    <n v="9"/>
    <n v="16488"/>
    <n v="12201"/>
    <n v="4287"/>
    <n v="0.26000727802037843"/>
    <x v="0"/>
  </r>
  <r>
    <n v="293"/>
    <d v="2025-12-08T00:00:00"/>
    <s v="Customer_15"/>
    <s v="Jeans"/>
    <s v="Clothing"/>
    <n v="1"/>
    <n v="1893"/>
    <n v="1476"/>
    <n v="417"/>
    <n v="0.2202852614896989"/>
    <x v="0"/>
  </r>
  <r>
    <n v="294"/>
    <d v="2025-11-05T00:00:00"/>
    <s v="Customer_6"/>
    <s v="Shoes"/>
    <s v="Clothing"/>
    <n v="5"/>
    <n v="2270"/>
    <n v="1906"/>
    <n v="364"/>
    <n v="0.160352422907489"/>
    <x v="2"/>
  </r>
  <r>
    <n v="295"/>
    <d v="2025-04-04T00:00:00"/>
    <s v="Customer_13"/>
    <s v="Headphones"/>
    <s v="Electronics"/>
    <n v="10"/>
    <n v="16550"/>
    <n v="12578"/>
    <n v="3972"/>
    <n v="0.24"/>
    <x v="0"/>
  </r>
  <r>
    <n v="296"/>
    <d v="2025-08-31T00:00:00"/>
    <s v="Customer_17"/>
    <s v="Chair"/>
    <s v="Furniture"/>
    <n v="2"/>
    <n v="1518"/>
    <n v="941"/>
    <n v="577"/>
    <n v="0.38010540184453229"/>
    <x v="2"/>
  </r>
  <r>
    <n v="297"/>
    <d v="2025-09-13T00:00:00"/>
    <s v="Customer_26"/>
    <s v="Chair"/>
    <s v="Furniture"/>
    <n v="5"/>
    <n v="1630"/>
    <n v="1026"/>
    <n v="604"/>
    <n v="0.37055214723926383"/>
    <x v="3"/>
  </r>
  <r>
    <n v="298"/>
    <d v="2025-07-26T00:00:00"/>
    <s v="Customer_14"/>
    <s v="Phone"/>
    <s v="Electronics"/>
    <n v="7"/>
    <n v="9415"/>
    <n v="6025"/>
    <n v="3390"/>
    <n v="0.36006372809346787"/>
    <x v="0"/>
  </r>
  <r>
    <n v="299"/>
    <d v="2025-03-23T00:00:00"/>
    <s v="Customer_29"/>
    <s v="Shoes"/>
    <s v="Clothing"/>
    <n v="8"/>
    <n v="2184"/>
    <n v="1703"/>
    <n v="481"/>
    <n v="0.22023809523809523"/>
    <x v="2"/>
  </r>
  <r>
    <n v="300"/>
    <d v="2025-07-29T00:00:00"/>
    <s v="Customer_9"/>
    <s v="Shoes"/>
    <s v="Clothing"/>
    <n v="3"/>
    <n v="3111"/>
    <n v="2053"/>
    <n v="1058"/>
    <n v="0.34008357441337189"/>
    <x v="0"/>
  </r>
  <r>
    <m/>
    <m/>
    <m/>
    <m/>
    <m/>
    <m/>
    <m/>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16" firstHeaderRow="1" firstDataRow="1" firstDataCol="1"/>
  <pivotFields count="12">
    <pivotField showAll="0"/>
    <pivotField numFmtId="164" showAll="0">
      <items count="198">
        <item x="94"/>
        <item x="53"/>
        <item x="76"/>
        <item x="179"/>
        <item x="127"/>
        <item x="17"/>
        <item x="176"/>
        <item x="31"/>
        <item x="33"/>
        <item x="24"/>
        <item x="25"/>
        <item x="173"/>
        <item x="65"/>
        <item x="134"/>
        <item x="118"/>
        <item x="151"/>
        <item x="68"/>
        <item x="78"/>
        <item x="146"/>
        <item x="35"/>
        <item x="38"/>
        <item x="155"/>
        <item x="67"/>
        <item x="187"/>
        <item x="160"/>
        <item x="182"/>
        <item x="117"/>
        <item x="61"/>
        <item x="139"/>
        <item x="150"/>
        <item x="0"/>
        <item x="114"/>
        <item x="10"/>
        <item x="49"/>
        <item x="55"/>
        <item x="110"/>
        <item x="3"/>
        <item x="125"/>
        <item x="180"/>
        <item x="137"/>
        <item x="102"/>
        <item x="141"/>
        <item x="44"/>
        <item x="75"/>
        <item x="27"/>
        <item x="177"/>
        <item x="43"/>
        <item x="156"/>
        <item x="195"/>
        <item x="91"/>
        <item x="5"/>
        <item x="165"/>
        <item x="121"/>
        <item x="169"/>
        <item x="66"/>
        <item x="194"/>
        <item x="130"/>
        <item x="63"/>
        <item x="109"/>
        <item x="184"/>
        <item x="166"/>
        <item x="62"/>
        <item x="70"/>
        <item x="96"/>
        <item x="103"/>
        <item x="143"/>
        <item x="80"/>
        <item x="100"/>
        <item x="147"/>
        <item x="174"/>
        <item x="138"/>
        <item x="11"/>
        <item x="21"/>
        <item x="153"/>
        <item x="48"/>
        <item x="2"/>
        <item x="107"/>
        <item x="37"/>
        <item x="8"/>
        <item x="144"/>
        <item x="45"/>
        <item x="20"/>
        <item x="95"/>
        <item x="162"/>
        <item x="135"/>
        <item x="145"/>
        <item x="175"/>
        <item x="133"/>
        <item x="157"/>
        <item x="79"/>
        <item x="58"/>
        <item x="29"/>
        <item x="42"/>
        <item x="46"/>
        <item x="41"/>
        <item x="32"/>
        <item x="28"/>
        <item x="87"/>
        <item x="6"/>
        <item x="30"/>
        <item x="190"/>
        <item x="105"/>
        <item x="12"/>
        <item x="108"/>
        <item x="171"/>
        <item x="106"/>
        <item x="90"/>
        <item x="9"/>
        <item x="83"/>
        <item x="99"/>
        <item x="18"/>
        <item x="128"/>
        <item x="188"/>
        <item x="97"/>
        <item x="159"/>
        <item x="16"/>
        <item x="85"/>
        <item x="1"/>
        <item x="196"/>
        <item x="185"/>
        <item x="74"/>
        <item x="50"/>
        <item x="168"/>
        <item x="4"/>
        <item x="181"/>
        <item x="152"/>
        <item x="82"/>
        <item x="60"/>
        <item x="7"/>
        <item x="154"/>
        <item x="129"/>
        <item x="39"/>
        <item x="47"/>
        <item x="115"/>
        <item x="52"/>
        <item x="54"/>
        <item x="161"/>
        <item x="34"/>
        <item x="167"/>
        <item x="122"/>
        <item x="81"/>
        <item x="26"/>
        <item x="22"/>
        <item x="164"/>
        <item x="131"/>
        <item x="98"/>
        <item x="189"/>
        <item x="19"/>
        <item x="101"/>
        <item x="126"/>
        <item x="112"/>
        <item x="89"/>
        <item x="73"/>
        <item x="163"/>
        <item x="71"/>
        <item x="56"/>
        <item x="191"/>
        <item x="120"/>
        <item x="93"/>
        <item x="51"/>
        <item x="140"/>
        <item x="59"/>
        <item x="23"/>
        <item x="13"/>
        <item x="136"/>
        <item x="193"/>
        <item x="186"/>
        <item x="104"/>
        <item x="111"/>
        <item x="172"/>
        <item x="178"/>
        <item x="142"/>
        <item x="116"/>
        <item x="148"/>
        <item x="77"/>
        <item x="92"/>
        <item x="36"/>
        <item x="132"/>
        <item x="64"/>
        <item x="15"/>
        <item x="40"/>
        <item x="183"/>
        <item x="14"/>
        <item x="113"/>
        <item x="192"/>
        <item x="119"/>
        <item x="170"/>
        <item x="86"/>
        <item x="158"/>
        <item x="149"/>
        <item x="123"/>
        <item x="84"/>
        <item x="124"/>
        <item x="69"/>
        <item x="57"/>
        <item x="88"/>
        <item x="72"/>
        <item t="default"/>
      </items>
    </pivotField>
    <pivotField showAll="0" sortType="ascending"/>
    <pivotField showAll="0"/>
    <pivotField showAll="0">
      <items count="4">
        <item x="0"/>
        <item x="2"/>
        <item x="1"/>
        <item t="default"/>
      </items>
    </pivotField>
    <pivotField showAll="0"/>
    <pivotField dataField="1" showAll="0"/>
    <pivotField showAll="0"/>
    <pivotField showAll="0"/>
    <pivotField showAll="0"/>
    <pivotField showAll="0">
      <items count="5">
        <item x="1"/>
        <item x="2"/>
        <item x="3"/>
        <item x="0"/>
        <item t="default"/>
      </items>
    </pivotField>
    <pivotField axis="axisRow" showAll="0" defaultSubtotal="0">
      <items count="12">
        <item x="8"/>
        <item x="0"/>
        <item x="3"/>
        <item x="11"/>
        <item x="2"/>
        <item x="5"/>
        <item x="1"/>
        <item x="4"/>
        <item x="9"/>
        <item x="10"/>
        <item x="6"/>
        <item x="7"/>
      </items>
    </pivotField>
  </pivotFields>
  <rowFields count="1">
    <field x="11"/>
  </rowFields>
  <rowItems count="13">
    <i>
      <x/>
    </i>
    <i>
      <x v="1"/>
    </i>
    <i>
      <x v="2"/>
    </i>
    <i>
      <x v="3"/>
    </i>
    <i>
      <x v="4"/>
    </i>
    <i>
      <x v="5"/>
    </i>
    <i>
      <x v="6"/>
    </i>
    <i>
      <x v="7"/>
    </i>
    <i>
      <x v="8"/>
    </i>
    <i>
      <x v="9"/>
    </i>
    <i>
      <x v="10"/>
    </i>
    <i>
      <x v="11"/>
    </i>
    <i t="grand">
      <x/>
    </i>
  </rowItems>
  <colItems count="1">
    <i/>
  </colItems>
  <dataFields count="1">
    <dataField name="Sum of Revenue" fld="6" baseField="0" baseItem="0"/>
  </dataFields>
  <chartFormats count="2">
    <chartFormat chart="1" format="8"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3:G44" firstHeaderRow="0" firstDataRow="1" firstDataCol="1"/>
  <pivotFields count="12">
    <pivotField dataField="1" showAll="0"/>
    <pivotField showAll="0"/>
    <pivotField axis="axisRow" showAll="0">
      <items count="42">
        <item x="27"/>
        <item x="35"/>
        <item x="11"/>
        <item x="30"/>
        <item x="34"/>
        <item x="36"/>
        <item x="7"/>
        <item x="0"/>
        <item x="23"/>
        <item x="32"/>
        <item x="33"/>
        <item x="17"/>
        <item x="14"/>
        <item x="6"/>
        <item x="25"/>
        <item x="19"/>
        <item x="5"/>
        <item x="28"/>
        <item x="29"/>
        <item x="9"/>
        <item x="12"/>
        <item x="16"/>
        <item x="39"/>
        <item x="20"/>
        <item x="38"/>
        <item x="18"/>
        <item x="21"/>
        <item x="24"/>
        <item x="26"/>
        <item x="2"/>
        <item x="10"/>
        <item x="13"/>
        <item x="31"/>
        <item x="3"/>
        <item x="22"/>
        <item x="1"/>
        <item x="8"/>
        <item x="15"/>
        <item x="4"/>
        <item x="37"/>
        <item h="1" x="40"/>
        <item t="default"/>
      </items>
    </pivotField>
    <pivotField showAll="0"/>
    <pivotField showAll="0"/>
    <pivotField showAll="0"/>
    <pivotField dataField="1" showAll="0"/>
    <pivotField showAll="0"/>
    <pivotField dataField="1" showAll="0"/>
    <pivotField dataField="1" showAll="0"/>
    <pivotField showAll="0"/>
    <pivotField showAll="0">
      <items count="14">
        <item x="8"/>
        <item x="0"/>
        <item x="3"/>
        <item x="11"/>
        <item x="2"/>
        <item x="5"/>
        <item x="1"/>
        <item x="4"/>
        <item x="9"/>
        <item x="10"/>
        <item x="6"/>
        <item x="7"/>
        <item x="12"/>
        <item t="default"/>
      </items>
    </pivotField>
  </pivotFields>
  <rowFields count="1">
    <field x="2"/>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4">
    <i>
      <x/>
    </i>
    <i i="1">
      <x v="1"/>
    </i>
    <i i="2">
      <x v="2"/>
    </i>
    <i i="3">
      <x v="3"/>
    </i>
  </colItems>
  <dataFields count="4">
    <dataField name="Count of OrderID" fld="0" subtotal="count" baseField="2" baseItem="0"/>
    <dataField name="Sum of Revenue" fld="6" baseField="2" baseItem="0"/>
    <dataField name="Sum of profit" fld="8" baseField="2" baseItem="0"/>
    <dataField name="Sum of profit_margin" fld="9"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39:K43" firstHeaderRow="0" firstDataRow="1" firstDataCol="1"/>
  <pivotFields count="12">
    <pivotField showAll="0"/>
    <pivotField showAll="0"/>
    <pivotField showAll="0"/>
    <pivotField showAll="0"/>
    <pivotField axis="axisRow" showAll="0">
      <items count="5">
        <item x="0"/>
        <item x="2"/>
        <item x="1"/>
        <item h="1" x="3"/>
        <item t="default"/>
      </items>
    </pivotField>
    <pivotField showAll="0"/>
    <pivotField dataField="1" showAll="0"/>
    <pivotField showAll="0"/>
    <pivotField dataField="1" showAll="0"/>
    <pivotField showAll="0"/>
    <pivotField showAll="0"/>
    <pivotField showAll="0"/>
  </pivotFields>
  <rowFields count="1">
    <field x="4"/>
  </rowFields>
  <rowItems count="4">
    <i>
      <x/>
    </i>
    <i>
      <x v="1"/>
    </i>
    <i>
      <x v="2"/>
    </i>
    <i t="grand">
      <x/>
    </i>
  </rowItems>
  <colFields count="1">
    <field x="-2"/>
  </colFields>
  <colItems count="2">
    <i>
      <x/>
    </i>
    <i i="1">
      <x v="1"/>
    </i>
  </colItems>
  <dataFields count="2">
    <dataField name="Sum of Revenue" fld="6" baseField="4" baseItem="0"/>
    <dataField name="Sum of profit" fld="8"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I27:K36" firstHeaderRow="0" firstDataRow="1" firstDataCol="1"/>
  <pivotFields count="12">
    <pivotField showAll="0"/>
    <pivotField showAll="0"/>
    <pivotField showAll="0"/>
    <pivotField axis="axisRow" showAll="0">
      <items count="10">
        <item x="1"/>
        <item x="4"/>
        <item x="3"/>
        <item x="0"/>
        <item x="5"/>
        <item x="6"/>
        <item x="7"/>
        <item x="2"/>
        <item h="1" x="8"/>
        <item t="default"/>
      </items>
    </pivotField>
    <pivotField showAll="0"/>
    <pivotField showAll="0"/>
    <pivotField dataField="1" showAll="0"/>
    <pivotField showAll="0"/>
    <pivotField dataField="1" showAll="0"/>
    <pivotField showAll="0"/>
    <pivotField showAll="0"/>
    <pivotField showAll="0"/>
  </pivotFields>
  <rowFields count="1">
    <field x="3"/>
  </rowFields>
  <rowItems count="9">
    <i>
      <x/>
    </i>
    <i>
      <x v="1"/>
    </i>
    <i>
      <x v="2"/>
    </i>
    <i>
      <x v="3"/>
    </i>
    <i>
      <x v="4"/>
    </i>
    <i>
      <x v="5"/>
    </i>
    <i>
      <x v="6"/>
    </i>
    <i>
      <x v="7"/>
    </i>
    <i t="grand">
      <x/>
    </i>
  </rowItems>
  <colFields count="1">
    <field x="-2"/>
  </colFields>
  <colItems count="2">
    <i>
      <x/>
    </i>
    <i i="1">
      <x v="1"/>
    </i>
  </colItems>
  <dataFields count="2">
    <dataField name="Sum of Revenue" fld="6" baseField="3" baseItem="0"/>
    <dataField name="Sum of profit" fld="8" baseField="3" baseItem="0"/>
  </dataFields>
  <chartFormats count="4">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3" count="1" selected="0">
            <x v="8"/>
          </reference>
        </references>
      </pivotArea>
    </chartFormat>
    <chartFormat chart="1" format="6" series="1">
      <pivotArea type="data" outline="0" fieldPosition="0">
        <references count="1">
          <reference field="4294967294" count="1" selected="0">
            <x v="1"/>
          </reference>
        </references>
      </pivotArea>
    </chartFormat>
    <chartFormat chart="1" format="7">
      <pivotArea type="data" outline="0" fieldPosition="0">
        <references count="2">
          <reference field="4294967294" count="1" selected="0">
            <x v="1"/>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J4:L9" firstHeaderRow="0" firstDataRow="1" firstDataCol="1"/>
  <pivotFields count="11">
    <pivotField showAll="0"/>
    <pivotField showAll="0"/>
    <pivotField showAll="0"/>
    <pivotField showAll="0"/>
    <pivotField showAll="0"/>
    <pivotField showAll="0"/>
    <pivotField dataField="1" showAll="0"/>
    <pivotField showAll="0"/>
    <pivotField dataField="1" showAll="0"/>
    <pivotField showAll="0"/>
    <pivotField axis="axisRow" showAll="0">
      <items count="6">
        <item x="1"/>
        <item x="2"/>
        <item x="3"/>
        <item x="0"/>
        <item h="1" x="4"/>
        <item t="default"/>
      </items>
    </pivotField>
  </pivotFields>
  <rowFields count="1">
    <field x="10"/>
  </rowFields>
  <rowItems count="5">
    <i>
      <x/>
    </i>
    <i>
      <x v="1"/>
    </i>
    <i>
      <x v="2"/>
    </i>
    <i>
      <x v="3"/>
    </i>
    <i t="grand">
      <x/>
    </i>
  </rowItems>
  <colFields count="1">
    <field x="-2"/>
  </colFields>
  <colItems count="2">
    <i>
      <x/>
    </i>
    <i i="1">
      <x v="1"/>
    </i>
  </colItems>
  <dataFields count="2">
    <dataField name="Sum of Revenue" fld="6" baseField="10" baseItem="0"/>
    <dataField name="Sum of profit" fld="8" baseField="10" baseItem="0"/>
  </dataFields>
  <chartFormats count="4">
    <chartFormat chart="1" format="5"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 chart="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Date" sourceName="OrderDate">
  <pivotTables>
    <pivotTable tabId="3" name="PivotTable1"/>
  </pivotTables>
  <data>
    <tabular pivotCacheId="1">
      <items count="197">
        <i x="94" s="1"/>
        <i x="53" s="1"/>
        <i x="76" s="1"/>
        <i x="179" s="1"/>
        <i x="127" s="1"/>
        <i x="17" s="1"/>
        <i x="176" s="1"/>
        <i x="31" s="1"/>
        <i x="33" s="1"/>
        <i x="24" s="1"/>
        <i x="25" s="1"/>
        <i x="173" s="1"/>
        <i x="65" s="1"/>
        <i x="134" s="1"/>
        <i x="118" s="1"/>
        <i x="151" s="1"/>
        <i x="68" s="1"/>
        <i x="78" s="1"/>
        <i x="146" s="1"/>
        <i x="35" s="1"/>
        <i x="38" s="1"/>
        <i x="155" s="1"/>
        <i x="67" s="1"/>
        <i x="187" s="1"/>
        <i x="160" s="1"/>
        <i x="182" s="1"/>
        <i x="117" s="1"/>
        <i x="61" s="1"/>
        <i x="139" s="1"/>
        <i x="150" s="1"/>
        <i x="0" s="1"/>
        <i x="114" s="1"/>
        <i x="10" s="1"/>
        <i x="49" s="1"/>
        <i x="55" s="1"/>
        <i x="110" s="1"/>
        <i x="3" s="1"/>
        <i x="125" s="1"/>
        <i x="180" s="1"/>
        <i x="137" s="1"/>
        <i x="102" s="1"/>
        <i x="141" s="1"/>
        <i x="44" s="1"/>
        <i x="75" s="1"/>
        <i x="27" s="1"/>
        <i x="177" s="1"/>
        <i x="43" s="1"/>
        <i x="156" s="1"/>
        <i x="195" s="1"/>
        <i x="91" s="1"/>
        <i x="5" s="1"/>
        <i x="165" s="1"/>
        <i x="121" s="1"/>
        <i x="169" s="1"/>
        <i x="66" s="1"/>
        <i x="194" s="1"/>
        <i x="130" s="1"/>
        <i x="63" s="1"/>
        <i x="109" s="1"/>
        <i x="184" s="1"/>
        <i x="166" s="1"/>
        <i x="62" s="1"/>
        <i x="70" s="1"/>
        <i x="96" s="1"/>
        <i x="103" s="1"/>
        <i x="143" s="1"/>
        <i x="80" s="1"/>
        <i x="100" s="1"/>
        <i x="147" s="1"/>
        <i x="174" s="1"/>
        <i x="138" s="1"/>
        <i x="11" s="1"/>
        <i x="21" s="1"/>
        <i x="153" s="1"/>
        <i x="48" s="1"/>
        <i x="2" s="1"/>
        <i x="107" s="1"/>
        <i x="37" s="1"/>
        <i x="8" s="1"/>
        <i x="144" s="1"/>
        <i x="45" s="1"/>
        <i x="20" s="1"/>
        <i x="95" s="1"/>
        <i x="162" s="1"/>
        <i x="135" s="1"/>
        <i x="145" s="1"/>
        <i x="175" s="1"/>
        <i x="133" s="1"/>
        <i x="157" s="1"/>
        <i x="79" s="1"/>
        <i x="58" s="1"/>
        <i x="29" s="1"/>
        <i x="42" s="1"/>
        <i x="46" s="1"/>
        <i x="41" s="1"/>
        <i x="32" s="1"/>
        <i x="28" s="1"/>
        <i x="87" s="1"/>
        <i x="6" s="1"/>
        <i x="30" s="1"/>
        <i x="190" s="1"/>
        <i x="105" s="1"/>
        <i x="12" s="1"/>
        <i x="108" s="1"/>
        <i x="171" s="1"/>
        <i x="106" s="1"/>
        <i x="90" s="1"/>
        <i x="9" s="1"/>
        <i x="83" s="1"/>
        <i x="99" s="1"/>
        <i x="18" s="1"/>
        <i x="128" s="1"/>
        <i x="188" s="1"/>
        <i x="97" s="1"/>
        <i x="159" s="1"/>
        <i x="16" s="1"/>
        <i x="85" s="1"/>
        <i x="1" s="1"/>
        <i x="196" s="1"/>
        <i x="185" s="1"/>
        <i x="74" s="1"/>
        <i x="50" s="1"/>
        <i x="168" s="1"/>
        <i x="4" s="1"/>
        <i x="181" s="1"/>
        <i x="152" s="1"/>
        <i x="82" s="1"/>
        <i x="60" s="1"/>
        <i x="7" s="1"/>
        <i x="154" s="1"/>
        <i x="129" s="1"/>
        <i x="39" s="1"/>
        <i x="47" s="1"/>
        <i x="115" s="1"/>
        <i x="52" s="1"/>
        <i x="54" s="1"/>
        <i x="161" s="1"/>
        <i x="34" s="1"/>
        <i x="167" s="1"/>
        <i x="122" s="1"/>
        <i x="81" s="1"/>
        <i x="26" s="1"/>
        <i x="22" s="1"/>
        <i x="164" s="1"/>
        <i x="131" s="1"/>
        <i x="98" s="1"/>
        <i x="189" s="1"/>
        <i x="19" s="1"/>
        <i x="101" s="1"/>
        <i x="126" s="1"/>
        <i x="112" s="1"/>
        <i x="89" s="1"/>
        <i x="73" s="1"/>
        <i x="163" s="1"/>
        <i x="71" s="1"/>
        <i x="56" s="1"/>
        <i x="191" s="1"/>
        <i x="120" s="1"/>
        <i x="93" s="1"/>
        <i x="51" s="1"/>
        <i x="140" s="1"/>
        <i x="59" s="1"/>
        <i x="23" s="1"/>
        <i x="13" s="1"/>
        <i x="136" s="1"/>
        <i x="193" s="1"/>
        <i x="186" s="1"/>
        <i x="104" s="1"/>
        <i x="111" s="1"/>
        <i x="172" s="1"/>
        <i x="178" s="1"/>
        <i x="142" s="1"/>
        <i x="116" s="1"/>
        <i x="148" s="1"/>
        <i x="77" s="1"/>
        <i x="92" s="1"/>
        <i x="36" s="1"/>
        <i x="132" s="1"/>
        <i x="64" s="1"/>
        <i x="15" s="1"/>
        <i x="40" s="1"/>
        <i x="183" s="1"/>
        <i x="14" s="1"/>
        <i x="113" s="1"/>
        <i x="192" s="1"/>
        <i x="119" s="1"/>
        <i x="170" s="1"/>
        <i x="86" s="1"/>
        <i x="158" s="1"/>
        <i x="149" s="1"/>
        <i x="123" s="1"/>
        <i x="84" s="1"/>
        <i x="124" s="1"/>
        <i x="69" s="1"/>
        <i x="57" s="1"/>
        <i x="88" s="1"/>
        <i x="7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1"/>
  </pivotTables>
  <data>
    <tabular pivotCacheId="1">
      <items count="12">
        <i x="8" s="1"/>
        <i x="0" s="1"/>
        <i x="3" s="1"/>
        <i x="11" s="1"/>
        <i x="2" s="1"/>
        <i x="5" s="1"/>
        <i x="1" s="1"/>
        <i x="4" s="1"/>
        <i x="9" s="1"/>
        <i x="10"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1"/>
  </pivotTables>
  <data>
    <tabular pivotCacheId="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Branch" sourceName="Branch">
  <pivotTables>
    <pivotTable tabId="3" name="PivotTable1"/>
  </pivotTables>
  <data>
    <tabular pivotCacheId="1">
      <items count="4">
        <i x="1" s="1"/>
        <i x="2"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MONTH1" sourceName="MONTH">
  <pivotTables>
    <pivotTable tabId="3" name="PivotTable5"/>
  </pivotTables>
  <data>
    <tabular pivotCacheId="2">
      <items count="13">
        <i x="8" s="1"/>
        <i x="0" s="1"/>
        <i x="3" s="1"/>
        <i x="11" s="1"/>
        <i x="2" s="1"/>
        <i x="5" s="1"/>
        <i x="1" s="1"/>
        <i x="4" s="1"/>
        <i x="9" s="1"/>
        <i x="10" s="1"/>
        <i x="6" s="1"/>
        <i x="7" s="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Date" cache="Slicer_OrderDate" caption="OrderDate" rowHeight="241300"/>
  <slicer name="MONTH" cache="Slicer_MONTH" caption="MONTH" rowHeight="241300"/>
  <slicer name="Category" cache="Slicer_Category" caption="Category" rowHeight="241300"/>
  <slicer name="Branch" cache="Slicer_Branch" caption="Branch" rowHeight="241300"/>
  <slicer name="MONTH 1" cache="Slicer_MONTH1" caption="MONTH" startItem="4" rowHeight="241300"/>
</slicers>
</file>

<file path=xl/tables/table1.xml><?xml version="1.0" encoding="utf-8"?>
<table xmlns="http://schemas.openxmlformats.org/spreadsheetml/2006/main" id="1" name="Table1" displayName="Table1" ref="A1:L301" totalsRowShown="0" headerRowDxfId="13" dataDxfId="12">
  <autoFilter ref="A1:L301"/>
  <tableColumns count="12">
    <tableColumn id="1" name="OrderID" dataDxfId="11"/>
    <tableColumn id="2" name="OrderDate" dataDxfId="10"/>
    <tableColumn id="3" name="CustomerName" dataDxfId="9"/>
    <tableColumn id="4" name="Product" dataDxfId="8"/>
    <tableColumn id="5" name="Category" dataDxfId="7"/>
    <tableColumn id="6" name="Quantity" dataDxfId="6"/>
    <tableColumn id="7" name="Revenue" dataDxfId="5" dataCellStyle="Comma"/>
    <tableColumn id="8" name="Cost" dataDxfId="4" dataCellStyle="Comma"/>
    <tableColumn id="9" name="profit" dataDxfId="3" dataCellStyle="Comma">
      <calculatedColumnFormula>G2-H2</calculatedColumnFormula>
    </tableColumn>
    <tableColumn id="10" name="profit_margin" dataDxfId="2" dataCellStyle="Percent">
      <calculatedColumnFormula>Table1[[#This Row],[profit]]/Table1[[#This Row],[Revenue]]</calculatedColumnFormula>
    </tableColumn>
    <tableColumn id="11" name="Branch" dataDxfId="1"/>
    <tableColumn id="12" name="MONTH" dataDxfId="0">
      <calculatedColumnFormula>MONTH(Table1[[#This Row],[OrderDate]])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
  <sheetViews>
    <sheetView workbookViewId="0">
      <selection activeCell="C2" sqref="C2:G2"/>
    </sheetView>
  </sheetViews>
  <sheetFormatPr defaultRowHeight="14.25" x14ac:dyDescent="0.2"/>
  <cols>
    <col min="1" max="1" width="12.5" customWidth="1"/>
    <col min="2" max="2" width="14.625" customWidth="1"/>
    <col min="3" max="3" width="13.125" customWidth="1"/>
    <col min="4" max="4" width="16.25" customWidth="1"/>
    <col min="5" max="5" width="15.75" customWidth="1"/>
    <col min="6" max="6" width="12.25" customWidth="1"/>
    <col min="7" max="7" width="19.5" bestFit="1" customWidth="1"/>
    <col min="8" max="8" width="13.875" customWidth="1"/>
    <col min="9" max="10" width="13.125" customWidth="1"/>
    <col min="11" max="11" width="15.75" customWidth="1"/>
    <col min="12" max="12" width="12.25" customWidth="1"/>
    <col min="13" max="13" width="6.875" customWidth="1"/>
    <col min="14" max="14" width="13.875" customWidth="1"/>
    <col min="15" max="15" width="10.875" customWidth="1"/>
    <col min="16" max="16" width="9.125" customWidth="1"/>
    <col min="17" max="17" width="6.875" customWidth="1"/>
    <col min="18" max="18" width="22.5" customWidth="1"/>
    <col min="19" max="19" width="19" customWidth="1"/>
    <col min="20" max="20" width="4.875" customWidth="1"/>
    <col min="21" max="21" width="3.875" customWidth="1"/>
    <col min="22" max="29" width="4.875" customWidth="1"/>
    <col min="30" max="30" width="5.875" customWidth="1"/>
    <col min="31" max="32" width="4.875" customWidth="1"/>
    <col min="33" max="34" width="5.875" customWidth="1"/>
    <col min="35" max="40" width="4.875" customWidth="1"/>
    <col min="41" max="41" width="5.875" customWidth="1"/>
    <col min="42" max="46" width="4.875" customWidth="1"/>
    <col min="47" max="47" width="5.875" customWidth="1"/>
    <col min="48" max="49" width="4.875" customWidth="1"/>
    <col min="50" max="50" width="5.875" customWidth="1"/>
    <col min="51" max="55" width="4.875" customWidth="1"/>
    <col min="56" max="56" width="3.875" customWidth="1"/>
    <col min="57" max="60" width="4.875" customWidth="1"/>
    <col min="61" max="62" width="3.875" customWidth="1"/>
    <col min="63" max="64" width="4.875" customWidth="1"/>
    <col min="65" max="65" width="5.875" customWidth="1"/>
    <col min="66" max="67" width="4.875" customWidth="1"/>
    <col min="68" max="69" width="5.875" customWidth="1"/>
    <col min="70" max="72" width="4.875" customWidth="1"/>
    <col min="73" max="73" width="3.875" customWidth="1"/>
    <col min="74" max="78" width="4.875" customWidth="1"/>
    <col min="79" max="79" width="5.875" customWidth="1"/>
    <col min="80" max="80" width="3.875" customWidth="1"/>
    <col min="81" max="91" width="4.875" customWidth="1"/>
    <col min="92" max="92" width="5.875" customWidth="1"/>
    <col min="93" max="93" width="3.875" customWidth="1"/>
    <col min="94" max="95" width="5.875" customWidth="1"/>
    <col min="96" max="96" width="4.875" customWidth="1"/>
    <col min="97" max="97" width="5.875" customWidth="1"/>
    <col min="98" max="98" width="4.875" customWidth="1"/>
    <col min="99" max="99" width="3.875" customWidth="1"/>
    <col min="100" max="100" width="5.875" customWidth="1"/>
    <col min="101" max="101" width="3.875" customWidth="1"/>
    <col min="102" max="106" width="4.875" customWidth="1"/>
    <col min="107" max="107" width="5.875" customWidth="1"/>
    <col min="108" max="108" width="4.875" customWidth="1"/>
    <col min="109" max="109" width="5.875" customWidth="1"/>
    <col min="110" max="112" width="4.875" customWidth="1"/>
    <col min="113" max="113" width="5.875" customWidth="1"/>
    <col min="114" max="116" width="4.875" customWidth="1"/>
    <col min="117" max="117" width="3.875" customWidth="1"/>
    <col min="118" max="119" width="4.875" customWidth="1"/>
    <col min="120" max="121" width="3.875" customWidth="1"/>
    <col min="122" max="122" width="4.875" customWidth="1"/>
    <col min="123" max="123" width="5.875" customWidth="1"/>
    <col min="124" max="129" width="4.875" customWidth="1"/>
    <col min="130" max="130" width="5.875" customWidth="1"/>
    <col min="131" max="131" width="4.875" customWidth="1"/>
    <col min="132" max="132" width="5.875" customWidth="1"/>
    <col min="133" max="136" width="4.875" customWidth="1"/>
    <col min="137" max="137" width="5.875" customWidth="1"/>
    <col min="138" max="138" width="3.875" customWidth="1"/>
    <col min="139" max="140" width="4.875" customWidth="1"/>
    <col min="141" max="141" width="5.875" customWidth="1"/>
    <col min="142" max="142" width="4.875" customWidth="1"/>
    <col min="143" max="143" width="3.875" customWidth="1"/>
    <col min="144" max="147" width="4.875" customWidth="1"/>
    <col min="148" max="148" width="5.875" customWidth="1"/>
    <col min="149" max="150" width="4.875" customWidth="1"/>
    <col min="151" max="151" width="3.875" customWidth="1"/>
    <col min="152" max="152" width="4.875" customWidth="1"/>
    <col min="153" max="153" width="3.875" customWidth="1"/>
    <col min="154" max="158" width="4.875" customWidth="1"/>
    <col min="159" max="159" width="5.875" customWidth="1"/>
    <col min="160" max="160" width="4.875" customWidth="1"/>
    <col min="161" max="161" width="5.875" customWidth="1"/>
    <col min="162" max="165" width="4.875" customWidth="1"/>
    <col min="166" max="167" width="5.875" customWidth="1"/>
    <col min="168" max="168" width="3.875" customWidth="1"/>
    <col min="169" max="172" width="4.875" customWidth="1"/>
    <col min="173" max="173" width="3.875" customWidth="1"/>
    <col min="174" max="174" width="5.875" customWidth="1"/>
    <col min="175" max="183" width="4.875" customWidth="1"/>
    <col min="184" max="184" width="5.875" customWidth="1"/>
    <col min="185" max="190" width="4.875" customWidth="1"/>
    <col min="191" max="191" width="5.875" customWidth="1"/>
    <col min="192" max="194" width="4.875" customWidth="1"/>
    <col min="195" max="195" width="3.875" customWidth="1"/>
    <col min="196" max="203" width="4.875" customWidth="1"/>
    <col min="204" max="204" width="3.875" customWidth="1"/>
    <col min="205" max="208" width="4.875" customWidth="1"/>
    <col min="209" max="209" width="3.875" customWidth="1"/>
    <col min="210" max="212" width="4.875" customWidth="1"/>
    <col min="213" max="213" width="5.875" customWidth="1"/>
    <col min="214" max="214" width="4.875" customWidth="1"/>
    <col min="215" max="215" width="5.875" customWidth="1"/>
    <col min="216" max="216" width="3.875" customWidth="1"/>
    <col min="217" max="220" width="4.875" customWidth="1"/>
    <col min="221" max="221" width="3.875" customWidth="1"/>
    <col min="222" max="235" width="4.875" customWidth="1"/>
    <col min="236" max="237" width="5.875" customWidth="1"/>
    <col min="238" max="243" width="4.875" customWidth="1"/>
    <col min="244" max="244" width="3.875" customWidth="1"/>
    <col min="245" max="246" width="4.875" customWidth="1"/>
    <col min="247" max="247" width="5.875" customWidth="1"/>
    <col min="248" max="252" width="4.875" customWidth="1"/>
    <col min="253" max="253" width="5.875" customWidth="1"/>
    <col min="254" max="254" width="4.875" customWidth="1"/>
    <col min="255" max="255" width="3.875" customWidth="1"/>
    <col min="256" max="260" width="4.875" customWidth="1"/>
    <col min="261" max="261" width="5.875" customWidth="1"/>
    <col min="262" max="262" width="4.875" customWidth="1"/>
    <col min="263" max="265" width="5.875" customWidth="1"/>
    <col min="266" max="267" width="4.875" customWidth="1"/>
    <col min="268" max="268" width="5.875" customWidth="1"/>
    <col min="269" max="280" width="4.875" customWidth="1"/>
    <col min="281" max="282" width="5.875" customWidth="1"/>
    <col min="283" max="286" width="4.875" customWidth="1"/>
    <col min="287" max="287" width="5.875" customWidth="1"/>
    <col min="288" max="289" width="4.875" customWidth="1"/>
    <col min="290" max="290" width="5.875" customWidth="1"/>
    <col min="291" max="291" width="4.875" customWidth="1"/>
    <col min="292" max="293" width="5.875" customWidth="1"/>
    <col min="294" max="294" width="4.875" customWidth="1"/>
    <col min="295" max="295" width="5.875" customWidth="1"/>
    <col min="296" max="297" width="4.875" customWidth="1"/>
    <col min="298" max="298" width="5.875" customWidth="1"/>
    <col min="299" max="303" width="4.875" customWidth="1"/>
    <col min="304" max="304" width="12.25" bestFit="1" customWidth="1"/>
    <col min="305" max="309" width="4.875" customWidth="1"/>
    <col min="310" max="311" width="3.875" customWidth="1"/>
    <col min="312" max="312" width="4.875" customWidth="1"/>
    <col min="313" max="313" width="3.875" customWidth="1"/>
    <col min="314" max="314" width="4.875" customWidth="1"/>
    <col min="315" max="315" width="3.875" customWidth="1"/>
    <col min="316" max="317" width="4.875" customWidth="1"/>
    <col min="318" max="318" width="3.875" customWidth="1"/>
    <col min="319" max="320" width="4.875" customWidth="1"/>
    <col min="321" max="322" width="3.875" customWidth="1"/>
    <col min="323" max="323" width="4.875" customWidth="1"/>
    <col min="324" max="325" width="3.875" customWidth="1"/>
    <col min="326" max="326" width="4.875" customWidth="1"/>
    <col min="327" max="328" width="3.875" customWidth="1"/>
    <col min="329" max="330" width="4.875" customWidth="1"/>
    <col min="331" max="331" width="3.875" customWidth="1"/>
    <col min="332" max="336" width="4.875" customWidth="1"/>
    <col min="337" max="339" width="3.875" customWidth="1"/>
    <col min="340" max="342" width="4.875" customWidth="1"/>
    <col min="343" max="343" width="3.875" customWidth="1"/>
    <col min="344" max="345" width="4.875" customWidth="1"/>
    <col min="346" max="346" width="3.875" customWidth="1"/>
    <col min="347" max="348" width="4.875" customWidth="1"/>
    <col min="349" max="349" width="3.875" customWidth="1"/>
    <col min="350" max="350" width="4.875" customWidth="1"/>
    <col min="351" max="352" width="3.875" customWidth="1"/>
    <col min="353" max="354" width="4.875" customWidth="1"/>
    <col min="355" max="358" width="3.875" customWidth="1"/>
    <col min="359" max="359" width="4.875" customWidth="1"/>
    <col min="360" max="362" width="3.875" customWidth="1"/>
    <col min="363" max="365" width="4.875" customWidth="1"/>
    <col min="366" max="366" width="3.875" customWidth="1"/>
    <col min="367" max="369" width="4.875" customWidth="1"/>
    <col min="370" max="370" width="3.875" customWidth="1"/>
    <col min="371" max="371" width="4.875" customWidth="1"/>
    <col min="372" max="372" width="3.875" customWidth="1"/>
    <col min="373" max="373" width="2.875" customWidth="1"/>
    <col min="374" max="375" width="4.875" customWidth="1"/>
    <col min="376" max="378" width="3.875" customWidth="1"/>
    <col min="379" max="379" width="4.875" customWidth="1"/>
    <col min="380" max="380" width="3.875" customWidth="1"/>
    <col min="381" max="383" width="4.875" customWidth="1"/>
    <col min="384" max="387" width="3.875" customWidth="1"/>
    <col min="388" max="389" width="4.875" customWidth="1"/>
    <col min="390" max="390" width="3.875" customWidth="1"/>
    <col min="391" max="392" width="4.875" customWidth="1"/>
    <col min="393" max="393" width="3.875" customWidth="1"/>
    <col min="394" max="395" width="4.875" customWidth="1"/>
    <col min="396" max="396" width="3.875" customWidth="1"/>
    <col min="397" max="398" width="4.875" customWidth="1"/>
    <col min="399" max="399" width="2.875" customWidth="1"/>
    <col min="400" max="400" width="4.875" customWidth="1"/>
    <col min="401" max="402" width="3.875" customWidth="1"/>
    <col min="403" max="403" width="4.875" customWidth="1"/>
    <col min="404" max="405" width="3.875" customWidth="1"/>
    <col min="406" max="407" width="4.875" customWidth="1"/>
    <col min="408" max="408" width="3.875" customWidth="1"/>
    <col min="409" max="410" width="4.875" customWidth="1"/>
    <col min="411" max="411" width="3.875" customWidth="1"/>
    <col min="412" max="415" width="4.875" customWidth="1"/>
    <col min="416" max="417" width="3.875" customWidth="1"/>
    <col min="418" max="419" width="4.875" customWidth="1"/>
    <col min="420" max="422" width="3.875" customWidth="1"/>
    <col min="423" max="423" width="4.875" customWidth="1"/>
    <col min="424" max="424" width="3.875" customWidth="1"/>
    <col min="425" max="425" width="4.875" customWidth="1"/>
    <col min="426" max="426" width="3.875" customWidth="1"/>
    <col min="427" max="428" width="4.875" customWidth="1"/>
    <col min="429" max="429" width="3.875" customWidth="1"/>
    <col min="430" max="430" width="4.875" customWidth="1"/>
    <col min="431" max="431" width="3.875" customWidth="1"/>
    <col min="432" max="434" width="4.875" customWidth="1"/>
    <col min="435" max="436" width="3.875" customWidth="1"/>
    <col min="437" max="437" width="4.875" customWidth="1"/>
    <col min="438" max="438" width="3.875" customWidth="1"/>
    <col min="439" max="439" width="4.875" customWidth="1"/>
    <col min="440" max="440" width="3.875" customWidth="1"/>
    <col min="441" max="441" width="4.875" customWidth="1"/>
    <col min="442" max="444" width="3.875" customWidth="1"/>
    <col min="445" max="445" width="4.875" customWidth="1"/>
    <col min="446" max="446" width="3.875" customWidth="1"/>
    <col min="447" max="450" width="4.875" customWidth="1"/>
    <col min="451" max="451" width="3.875" customWidth="1"/>
    <col min="452" max="452" width="4.875" customWidth="1"/>
    <col min="453" max="454" width="3.875" customWidth="1"/>
    <col min="455" max="455" width="4.875" customWidth="1"/>
    <col min="456" max="456" width="3.875" customWidth="1"/>
    <col min="457" max="459" width="4.875" customWidth="1"/>
    <col min="460" max="460" width="3.875" customWidth="1"/>
    <col min="461" max="461" width="4.875" customWidth="1"/>
    <col min="462" max="463" width="3.875" customWidth="1"/>
    <col min="464" max="467" width="4.875" customWidth="1"/>
    <col min="468" max="468" width="3.875" customWidth="1"/>
    <col min="469" max="470" width="4.875" customWidth="1"/>
    <col min="471" max="471" width="3.875" customWidth="1"/>
    <col min="472" max="472" width="4.875" customWidth="1"/>
    <col min="473" max="473" width="3.875" customWidth="1"/>
    <col min="474" max="474" width="4.875" customWidth="1"/>
    <col min="475" max="476" width="3.875" customWidth="1"/>
    <col min="477" max="488" width="4.875" customWidth="1"/>
    <col min="489" max="489" width="3.875" customWidth="1"/>
    <col min="490" max="491" width="4.875" customWidth="1"/>
    <col min="492" max="493" width="3.875" customWidth="1"/>
    <col min="494" max="494" width="4.875" customWidth="1"/>
    <col min="495" max="495" width="3.875" customWidth="1"/>
    <col min="496" max="498" width="4.875" customWidth="1"/>
    <col min="499" max="499" width="3.875" customWidth="1"/>
    <col min="500" max="501" width="4.875" customWidth="1"/>
    <col min="502" max="502" width="3.875" customWidth="1"/>
    <col min="503" max="503" width="4.875" customWidth="1"/>
    <col min="504" max="504" width="3.875" customWidth="1"/>
    <col min="505" max="507" width="4.875" customWidth="1"/>
    <col min="508" max="509" width="3.875" customWidth="1"/>
    <col min="510" max="515" width="4.875" customWidth="1"/>
    <col min="516" max="518" width="3.875" customWidth="1"/>
    <col min="519" max="519" width="4.875" customWidth="1"/>
    <col min="520" max="523" width="3.875" customWidth="1"/>
    <col min="524" max="525" width="4.875" customWidth="1"/>
    <col min="526" max="527" width="3.875" customWidth="1"/>
    <col min="528" max="530" width="4.875" customWidth="1"/>
    <col min="531" max="531" width="3.875" customWidth="1"/>
    <col min="532" max="532" width="4.875" customWidth="1"/>
    <col min="533" max="533" width="3.875" customWidth="1"/>
    <col min="534" max="534" width="4.875" customWidth="1"/>
    <col min="535" max="535" width="3.875" customWidth="1"/>
    <col min="536" max="537" width="4.875" customWidth="1"/>
    <col min="538" max="540" width="3.875" customWidth="1"/>
    <col min="541" max="541" width="4.875" customWidth="1"/>
    <col min="542" max="542" width="3.875" customWidth="1"/>
    <col min="543" max="543" width="4.875" customWidth="1"/>
    <col min="544" max="544" width="3.875" customWidth="1"/>
    <col min="545" max="547" width="4.875" customWidth="1"/>
    <col min="548" max="549" width="3.875" customWidth="1"/>
    <col min="550" max="550" width="4.875" customWidth="1"/>
    <col min="551" max="551" width="3.875" customWidth="1"/>
    <col min="552" max="554" width="4.875" customWidth="1"/>
    <col min="555" max="555" width="3.875" customWidth="1"/>
    <col min="556" max="557" width="4.875" customWidth="1"/>
    <col min="558" max="558" width="3.875" customWidth="1"/>
    <col min="559" max="559" width="4.875" customWidth="1"/>
    <col min="560" max="560" width="3.875" customWidth="1"/>
    <col min="561" max="561" width="4.875" customWidth="1"/>
    <col min="562" max="562" width="3.875" customWidth="1"/>
    <col min="563" max="565" width="4.875" customWidth="1"/>
    <col min="566" max="567" width="3.875" customWidth="1"/>
    <col min="568" max="568" width="4.875" customWidth="1"/>
    <col min="569" max="570" width="3.875" customWidth="1"/>
    <col min="571" max="573" width="4.875" customWidth="1"/>
    <col min="574" max="574" width="3.875" customWidth="1"/>
    <col min="575" max="575" width="4.875" customWidth="1"/>
    <col min="576" max="576" width="3.875" customWidth="1"/>
    <col min="577" max="577" width="4.875" customWidth="1"/>
    <col min="578" max="579" width="3.875" customWidth="1"/>
    <col min="580" max="582" width="4.875" customWidth="1"/>
    <col min="583" max="584" width="3.875" customWidth="1"/>
    <col min="585" max="588" width="4.875" customWidth="1"/>
    <col min="589" max="589" width="3.875" customWidth="1"/>
    <col min="590" max="595" width="4.875" customWidth="1"/>
    <col min="596" max="597" width="3.875" customWidth="1"/>
    <col min="598" max="598" width="4.875" customWidth="1"/>
    <col min="599" max="600" width="3.875" customWidth="1"/>
    <col min="601" max="601" width="4.875" customWidth="1"/>
    <col min="602" max="602" width="3.875" customWidth="1"/>
    <col min="603" max="603" width="4.875" customWidth="1"/>
    <col min="604" max="604" width="19.5" bestFit="1" customWidth="1"/>
    <col min="605" max="612" width="11.875" bestFit="1" customWidth="1"/>
    <col min="613" max="613" width="10.875" bestFit="1" customWidth="1"/>
    <col min="614" max="622" width="11.875" bestFit="1" customWidth="1"/>
    <col min="623" max="623" width="3.875" customWidth="1"/>
    <col min="624" max="628" width="11.875" bestFit="1" customWidth="1"/>
    <col min="629" max="629" width="3.875" customWidth="1"/>
    <col min="630" max="631" width="11.875" bestFit="1" customWidth="1"/>
    <col min="632" max="632" width="3.875" customWidth="1"/>
    <col min="633" max="646" width="11.875" bestFit="1" customWidth="1"/>
    <col min="647" max="647" width="10.875" bestFit="1" customWidth="1"/>
    <col min="648" max="648" width="4.875" customWidth="1"/>
    <col min="649" max="649" width="10.875" bestFit="1" customWidth="1"/>
    <col min="650" max="659" width="11.875" bestFit="1" customWidth="1"/>
    <col min="660" max="660" width="10.875" bestFit="1" customWidth="1"/>
    <col min="661" max="665" width="11.875" bestFit="1" customWidth="1"/>
    <col min="666" max="667" width="4.875" customWidth="1"/>
    <col min="668" max="674" width="11.875" bestFit="1" customWidth="1"/>
    <col min="675" max="675" width="10.875" bestFit="1" customWidth="1"/>
    <col min="676" max="683" width="11.875" bestFit="1" customWidth="1"/>
    <col min="684" max="684" width="10.875" bestFit="1" customWidth="1"/>
    <col min="685" max="691" width="11.875" bestFit="1" customWidth="1"/>
    <col min="692" max="692" width="3.875" customWidth="1"/>
    <col min="693" max="695" width="11.875" bestFit="1" customWidth="1"/>
    <col min="696" max="696" width="10.875" bestFit="1" customWidth="1"/>
    <col min="697" max="698" width="11.875" bestFit="1" customWidth="1"/>
    <col min="699" max="699" width="4.875" customWidth="1"/>
    <col min="700" max="704" width="11.875" bestFit="1" customWidth="1"/>
    <col min="705" max="705" width="4.875" customWidth="1"/>
    <col min="706" max="706" width="11.875" bestFit="1" customWidth="1"/>
    <col min="707" max="707" width="10.875" bestFit="1" customWidth="1"/>
    <col min="708" max="720" width="11.875" bestFit="1" customWidth="1"/>
    <col min="721" max="721" width="4.875" customWidth="1"/>
    <col min="722" max="723" width="11.875" bestFit="1" customWidth="1"/>
    <col min="724" max="725" width="10.875" bestFit="1" customWidth="1"/>
    <col min="726" max="729" width="11.875" bestFit="1" customWidth="1"/>
    <col min="730" max="730" width="10.875" bestFit="1" customWidth="1"/>
    <col min="731" max="736" width="11.875" bestFit="1" customWidth="1"/>
    <col min="737" max="737" width="10.875" bestFit="1" customWidth="1"/>
    <col min="738" max="738" width="11.875" bestFit="1" customWidth="1"/>
    <col min="739" max="739" width="4.875" customWidth="1"/>
    <col min="740" max="745" width="11.875" bestFit="1" customWidth="1"/>
    <col min="746" max="746" width="10.875" bestFit="1" customWidth="1"/>
    <col min="747" max="747" width="11.875" bestFit="1" customWidth="1"/>
    <col min="748" max="748" width="3.875" customWidth="1"/>
    <col min="749" max="750" width="10.875" bestFit="1" customWidth="1"/>
    <col min="751" max="752" width="11.875" bestFit="1" customWidth="1"/>
    <col min="753" max="753" width="9.875" bestFit="1" customWidth="1"/>
    <col min="754" max="757" width="11.875" bestFit="1" customWidth="1"/>
    <col min="758" max="759" width="4.875" customWidth="1"/>
    <col min="760" max="770" width="11.875" bestFit="1" customWidth="1"/>
    <col min="771" max="771" width="4.875" customWidth="1"/>
    <col min="772" max="772" width="11.875" bestFit="1" customWidth="1"/>
    <col min="773" max="773" width="10.875" bestFit="1" customWidth="1"/>
    <col min="774" max="778" width="11.875" bestFit="1" customWidth="1"/>
    <col min="779" max="779" width="9.875" bestFit="1" customWidth="1"/>
    <col min="780" max="791" width="11.875" bestFit="1" customWidth="1"/>
    <col min="792" max="792" width="4.875" customWidth="1"/>
    <col min="793" max="797" width="11.875" bestFit="1" customWidth="1"/>
    <col min="798" max="798" width="10.875" bestFit="1" customWidth="1"/>
    <col min="799" max="803" width="11.875" bestFit="1" customWidth="1"/>
    <col min="804" max="804" width="10.875" bestFit="1" customWidth="1"/>
    <col min="805" max="806" width="11.875" bestFit="1" customWidth="1"/>
    <col min="807" max="807" width="10.875" bestFit="1" customWidth="1"/>
    <col min="808" max="808" width="11.875" bestFit="1" customWidth="1"/>
    <col min="809" max="811" width="10.875" bestFit="1" customWidth="1"/>
    <col min="812" max="814" width="11.875" bestFit="1" customWidth="1"/>
    <col min="815" max="815" width="4.875" customWidth="1"/>
    <col min="816" max="816" width="9.875" bestFit="1" customWidth="1"/>
    <col min="817" max="819" width="11.875" bestFit="1" customWidth="1"/>
    <col min="820" max="820" width="9.875" bestFit="1" customWidth="1"/>
    <col min="821" max="837" width="11.875" bestFit="1" customWidth="1"/>
    <col min="838" max="838" width="10.875" bestFit="1" customWidth="1"/>
    <col min="839" max="840" width="11.875" bestFit="1" customWidth="1"/>
    <col min="841" max="841" width="9.875" bestFit="1" customWidth="1"/>
    <col min="842" max="847" width="11.875" bestFit="1" customWidth="1"/>
    <col min="848" max="848" width="10.875" bestFit="1" customWidth="1"/>
    <col min="849" max="849" width="11.875" bestFit="1" customWidth="1"/>
    <col min="850" max="850" width="10.875" bestFit="1" customWidth="1"/>
    <col min="851" max="859" width="11.875" bestFit="1" customWidth="1"/>
    <col min="860" max="860" width="10.875" bestFit="1" customWidth="1"/>
    <col min="861" max="861" width="4.875" customWidth="1"/>
    <col min="862" max="865" width="11.875" bestFit="1" customWidth="1"/>
    <col min="866" max="866" width="10.875" bestFit="1" customWidth="1"/>
    <col min="867" max="868" width="11.875" bestFit="1" customWidth="1"/>
    <col min="869" max="869" width="10.875" bestFit="1" customWidth="1"/>
    <col min="870" max="877" width="11.875" bestFit="1" customWidth="1"/>
    <col min="878" max="878" width="4.875" customWidth="1"/>
    <col min="879" max="879" width="10.875" bestFit="1" customWidth="1"/>
    <col min="880" max="880" width="11.875" bestFit="1" customWidth="1"/>
    <col min="881" max="881" width="3.875" customWidth="1"/>
    <col min="882" max="882" width="11.875" bestFit="1" customWidth="1"/>
    <col min="883" max="883" width="4.875" customWidth="1"/>
    <col min="884" max="885" width="11.875" bestFit="1" customWidth="1"/>
    <col min="886" max="886" width="10.875" bestFit="1" customWidth="1"/>
    <col min="887" max="890" width="11.875" bestFit="1" customWidth="1"/>
    <col min="891" max="891" width="4.875" customWidth="1"/>
    <col min="892" max="897" width="11.875" bestFit="1" customWidth="1"/>
    <col min="898" max="898" width="4.875" customWidth="1"/>
    <col min="899" max="903" width="11.875" bestFit="1" customWidth="1"/>
    <col min="904" max="904" width="20.875" bestFit="1" customWidth="1"/>
    <col min="905" max="905" width="17.5" bestFit="1" customWidth="1"/>
    <col min="906" max="906" width="24.625" bestFit="1" customWidth="1"/>
  </cols>
  <sheetData>
    <row r="1" spans="1:12" ht="15" x14ac:dyDescent="0.25">
      <c r="C1" s="12" t="s">
        <v>83</v>
      </c>
      <c r="D1" s="12"/>
      <c r="E1" s="12"/>
      <c r="F1" s="12"/>
      <c r="G1" s="12"/>
    </row>
    <row r="2" spans="1:12" ht="15" x14ac:dyDescent="0.25">
      <c r="C2" s="12" t="s">
        <v>84</v>
      </c>
      <c r="D2" s="12"/>
      <c r="E2" s="12"/>
      <c r="F2" s="12"/>
      <c r="G2" s="12"/>
    </row>
    <row r="3" spans="1:12" x14ac:dyDescent="0.2">
      <c r="A3" s="3" t="s">
        <v>71</v>
      </c>
      <c r="B3" t="s">
        <v>72</v>
      </c>
      <c r="C3" s="3" t="s">
        <v>71</v>
      </c>
      <c r="D3" t="s">
        <v>75</v>
      </c>
      <c r="E3" t="s">
        <v>72</v>
      </c>
      <c r="F3" t="s">
        <v>73</v>
      </c>
      <c r="G3" t="s">
        <v>74</v>
      </c>
    </row>
    <row r="4" spans="1:12" x14ac:dyDescent="0.2">
      <c r="A4" s="5">
        <v>1</v>
      </c>
      <c r="B4" s="4">
        <v>113338</v>
      </c>
      <c r="C4" s="5" t="s">
        <v>51</v>
      </c>
      <c r="D4" s="4">
        <v>5</v>
      </c>
      <c r="E4" s="4">
        <v>34981</v>
      </c>
      <c r="F4" s="4">
        <v>10824</v>
      </c>
      <c r="G4" s="4">
        <v>1.3003974077861393</v>
      </c>
      <c r="J4" s="3" t="s">
        <v>71</v>
      </c>
      <c r="K4" t="s">
        <v>72</v>
      </c>
      <c r="L4" t="s">
        <v>73</v>
      </c>
    </row>
    <row r="5" spans="1:12" x14ac:dyDescent="0.2">
      <c r="A5" s="5">
        <v>2</v>
      </c>
      <c r="B5" s="4">
        <v>233734</v>
      </c>
      <c r="C5" s="5" t="s">
        <v>59</v>
      </c>
      <c r="D5" s="4">
        <v>5</v>
      </c>
      <c r="E5" s="4">
        <v>33704</v>
      </c>
      <c r="F5" s="4">
        <v>11892</v>
      </c>
      <c r="G5" s="4">
        <v>1.5609950190236384</v>
      </c>
      <c r="J5" s="5" t="s">
        <v>16</v>
      </c>
      <c r="K5" s="4">
        <v>394614</v>
      </c>
      <c r="L5" s="4">
        <v>130442</v>
      </c>
    </row>
    <row r="6" spans="1:12" x14ac:dyDescent="0.2">
      <c r="A6" s="5">
        <v>3</v>
      </c>
      <c r="B6" s="4">
        <v>195826</v>
      </c>
      <c r="C6" s="5" t="s">
        <v>33</v>
      </c>
      <c r="D6" s="4">
        <v>8</v>
      </c>
      <c r="E6" s="4">
        <v>55462</v>
      </c>
      <c r="F6" s="4">
        <v>17807</v>
      </c>
      <c r="G6" s="4">
        <v>2.4909104215972646</v>
      </c>
      <c r="J6" s="5" t="s">
        <v>18</v>
      </c>
      <c r="K6" s="4">
        <v>384036</v>
      </c>
      <c r="L6" s="4">
        <v>117383</v>
      </c>
    </row>
    <row r="7" spans="1:12" x14ac:dyDescent="0.2">
      <c r="A7" s="5">
        <v>4</v>
      </c>
      <c r="B7" s="4">
        <v>89339</v>
      </c>
      <c r="C7" s="5" t="s">
        <v>54</v>
      </c>
      <c r="D7" s="4">
        <v>11</v>
      </c>
      <c r="E7" s="4">
        <v>48321</v>
      </c>
      <c r="F7" s="4">
        <v>16784</v>
      </c>
      <c r="G7" s="4">
        <v>3.7437265075060058</v>
      </c>
      <c r="J7" s="5" t="s">
        <v>21</v>
      </c>
      <c r="K7" s="4">
        <v>489741</v>
      </c>
      <c r="L7" s="4">
        <v>147060</v>
      </c>
    </row>
    <row r="8" spans="1:12" x14ac:dyDescent="0.2">
      <c r="A8" s="5">
        <v>5</v>
      </c>
      <c r="B8" s="4">
        <v>170097</v>
      </c>
      <c r="C8" s="5" t="s">
        <v>58</v>
      </c>
      <c r="D8" s="4">
        <v>8</v>
      </c>
      <c r="E8" s="4">
        <v>39592</v>
      </c>
      <c r="F8" s="4">
        <v>10421</v>
      </c>
      <c r="G8" s="4">
        <v>2.1614501573693348</v>
      </c>
      <c r="J8" s="5" t="s">
        <v>12</v>
      </c>
      <c r="K8" s="4">
        <v>481658</v>
      </c>
      <c r="L8" s="4">
        <v>141946</v>
      </c>
    </row>
    <row r="9" spans="1:12" x14ac:dyDescent="0.2">
      <c r="A9" s="5">
        <v>6</v>
      </c>
      <c r="B9" s="4">
        <v>166157</v>
      </c>
      <c r="C9" s="5" t="s">
        <v>60</v>
      </c>
      <c r="D9" s="4">
        <v>6</v>
      </c>
      <c r="E9" s="4">
        <v>55727</v>
      </c>
      <c r="F9" s="4">
        <v>19683</v>
      </c>
      <c r="G9" s="4">
        <v>2.0204822896963872</v>
      </c>
      <c r="J9" s="5" t="s">
        <v>70</v>
      </c>
      <c r="K9" s="4">
        <v>1750049</v>
      </c>
      <c r="L9" s="4">
        <v>536831</v>
      </c>
    </row>
    <row r="10" spans="1:12" x14ac:dyDescent="0.2">
      <c r="A10" s="5">
        <v>7</v>
      </c>
      <c r="B10" s="4">
        <v>171275</v>
      </c>
      <c r="C10" s="5" t="s">
        <v>27</v>
      </c>
      <c r="D10" s="4">
        <v>11</v>
      </c>
      <c r="E10" s="4">
        <v>38031</v>
      </c>
      <c r="F10" s="4">
        <v>10549</v>
      </c>
      <c r="G10" s="4">
        <v>2.8818077521839509</v>
      </c>
    </row>
    <row r="11" spans="1:12" x14ac:dyDescent="0.2">
      <c r="A11" s="5">
        <v>8</v>
      </c>
      <c r="B11" s="4">
        <v>113852</v>
      </c>
      <c r="C11" s="5" t="s">
        <v>9</v>
      </c>
      <c r="D11" s="4">
        <v>4</v>
      </c>
      <c r="E11" s="4">
        <v>14721</v>
      </c>
      <c r="F11" s="4">
        <v>3583</v>
      </c>
      <c r="G11" s="4">
        <v>1.1110262802966475</v>
      </c>
    </row>
    <row r="12" spans="1:12" x14ac:dyDescent="0.2">
      <c r="A12" s="5">
        <v>9</v>
      </c>
      <c r="B12" s="4">
        <v>119073</v>
      </c>
      <c r="C12" s="5" t="s">
        <v>47</v>
      </c>
      <c r="D12" s="4">
        <v>7</v>
      </c>
      <c r="E12" s="4">
        <v>40594</v>
      </c>
      <c r="F12" s="4">
        <v>12752</v>
      </c>
      <c r="G12" s="4">
        <v>2.2711287543733847</v>
      </c>
    </row>
    <row r="13" spans="1:12" x14ac:dyDescent="0.2">
      <c r="A13" s="5">
        <v>10</v>
      </c>
      <c r="B13" s="4">
        <v>103285</v>
      </c>
      <c r="C13" s="5" t="s">
        <v>56</v>
      </c>
      <c r="D13" s="4">
        <v>9</v>
      </c>
      <c r="E13" s="4">
        <v>28833</v>
      </c>
      <c r="F13" s="4">
        <v>7496</v>
      </c>
      <c r="G13" s="4">
        <v>2.7326102616772974</v>
      </c>
    </row>
    <row r="14" spans="1:12" x14ac:dyDescent="0.2">
      <c r="A14" s="5">
        <v>11</v>
      </c>
      <c r="B14" s="4">
        <v>154939</v>
      </c>
      <c r="C14" s="5" t="s">
        <v>57</v>
      </c>
      <c r="D14" s="4">
        <v>8</v>
      </c>
      <c r="E14" s="4">
        <v>25924</v>
      </c>
      <c r="F14" s="4">
        <v>8271</v>
      </c>
      <c r="G14" s="4">
        <v>2.4723781450691042</v>
      </c>
    </row>
    <row r="15" spans="1:12" x14ac:dyDescent="0.2">
      <c r="A15" s="5">
        <v>12</v>
      </c>
      <c r="B15" s="4">
        <v>119134</v>
      </c>
      <c r="C15" s="5" t="s">
        <v>41</v>
      </c>
      <c r="D15" s="4">
        <v>7</v>
      </c>
      <c r="E15" s="4">
        <v>28141</v>
      </c>
      <c r="F15" s="4">
        <v>8208</v>
      </c>
      <c r="G15" s="4">
        <v>1.8908449059140398</v>
      </c>
    </row>
    <row r="16" spans="1:12" x14ac:dyDescent="0.2">
      <c r="A16" s="5" t="s">
        <v>70</v>
      </c>
      <c r="B16" s="4">
        <v>1750049</v>
      </c>
      <c r="C16" s="5" t="s">
        <v>36</v>
      </c>
      <c r="D16" s="4">
        <v>8</v>
      </c>
      <c r="E16" s="4">
        <v>33683</v>
      </c>
      <c r="F16" s="4">
        <v>9650</v>
      </c>
      <c r="G16" s="4">
        <v>2.361534250771216</v>
      </c>
    </row>
    <row r="17" spans="3:11" x14ac:dyDescent="0.2">
      <c r="C17" s="5" t="s">
        <v>26</v>
      </c>
      <c r="D17" s="4">
        <v>5</v>
      </c>
      <c r="E17" s="4">
        <v>20990</v>
      </c>
      <c r="F17" s="4">
        <v>8252</v>
      </c>
      <c r="G17" s="4">
        <v>1.8915967401714073</v>
      </c>
    </row>
    <row r="18" spans="3:11" x14ac:dyDescent="0.2">
      <c r="C18" s="5" t="s">
        <v>49</v>
      </c>
      <c r="D18" s="4">
        <v>8</v>
      </c>
      <c r="E18" s="4">
        <v>63895</v>
      </c>
      <c r="F18" s="4">
        <v>21338</v>
      </c>
      <c r="G18" s="4">
        <v>2.7011458712411738</v>
      </c>
    </row>
    <row r="19" spans="3:11" x14ac:dyDescent="0.2">
      <c r="C19" s="5" t="s">
        <v>43</v>
      </c>
      <c r="D19" s="4">
        <v>7</v>
      </c>
      <c r="E19" s="4">
        <v>43344</v>
      </c>
      <c r="F19" s="4">
        <v>12730</v>
      </c>
      <c r="G19" s="4">
        <v>2.0631622524838127</v>
      </c>
    </row>
    <row r="20" spans="3:11" x14ac:dyDescent="0.2">
      <c r="C20" s="5" t="s">
        <v>25</v>
      </c>
      <c r="D20" s="4">
        <v>7</v>
      </c>
      <c r="E20" s="4">
        <v>42765</v>
      </c>
      <c r="F20" s="4">
        <v>16291</v>
      </c>
      <c r="G20" s="4">
        <v>2.3530512377241943</v>
      </c>
    </row>
    <row r="21" spans="3:11" x14ac:dyDescent="0.2">
      <c r="C21" s="5" t="s">
        <v>52</v>
      </c>
      <c r="D21" s="4">
        <v>7</v>
      </c>
      <c r="E21" s="4">
        <v>55617</v>
      </c>
      <c r="F21" s="4">
        <v>15580</v>
      </c>
      <c r="G21" s="4">
        <v>2.2108358929046186</v>
      </c>
    </row>
    <row r="22" spans="3:11" x14ac:dyDescent="0.2">
      <c r="C22" s="5" t="s">
        <v>53</v>
      </c>
      <c r="D22" s="4">
        <v>11</v>
      </c>
      <c r="E22" s="4">
        <v>49303</v>
      </c>
      <c r="F22" s="4">
        <v>18501</v>
      </c>
      <c r="G22" s="4">
        <v>4.0325005755766918</v>
      </c>
    </row>
    <row r="23" spans="3:11" x14ac:dyDescent="0.2">
      <c r="C23" s="5" t="s">
        <v>30</v>
      </c>
      <c r="D23" s="4">
        <v>12</v>
      </c>
      <c r="E23" s="4">
        <v>56899</v>
      </c>
      <c r="F23" s="4">
        <v>13486</v>
      </c>
      <c r="G23" s="4">
        <v>3.2635105507068598</v>
      </c>
    </row>
    <row r="24" spans="3:11" x14ac:dyDescent="0.2">
      <c r="C24" s="5" t="s">
        <v>34</v>
      </c>
      <c r="D24" s="4">
        <v>6</v>
      </c>
      <c r="E24" s="4">
        <v>41874</v>
      </c>
      <c r="F24" s="4">
        <v>14088</v>
      </c>
      <c r="G24" s="4">
        <v>1.9704027986192834</v>
      </c>
    </row>
    <row r="25" spans="3:11" x14ac:dyDescent="0.2">
      <c r="C25" s="5" t="s">
        <v>40</v>
      </c>
      <c r="D25" s="4">
        <v>10</v>
      </c>
      <c r="E25" s="4">
        <v>45752</v>
      </c>
      <c r="F25" s="4">
        <v>11049</v>
      </c>
      <c r="G25" s="4">
        <v>2.3216421922272343</v>
      </c>
    </row>
    <row r="26" spans="3:11" x14ac:dyDescent="0.2">
      <c r="C26" s="5" t="s">
        <v>63</v>
      </c>
      <c r="D26" s="4">
        <v>5</v>
      </c>
      <c r="E26" s="4">
        <v>36869</v>
      </c>
      <c r="F26" s="4">
        <v>10483</v>
      </c>
      <c r="G26" s="4">
        <v>1.4401144365940042</v>
      </c>
    </row>
    <row r="27" spans="3:11" x14ac:dyDescent="0.2">
      <c r="C27" s="5" t="s">
        <v>44</v>
      </c>
      <c r="D27" s="4">
        <v>12</v>
      </c>
      <c r="E27" s="4">
        <v>122180</v>
      </c>
      <c r="F27" s="4">
        <v>39656</v>
      </c>
      <c r="G27" s="4">
        <v>3.9117298303963937</v>
      </c>
      <c r="I27" s="3" t="s">
        <v>71</v>
      </c>
      <c r="J27" t="s">
        <v>72</v>
      </c>
      <c r="K27" t="s">
        <v>73</v>
      </c>
    </row>
    <row r="28" spans="3:11" x14ac:dyDescent="0.2">
      <c r="C28" s="5" t="s">
        <v>62</v>
      </c>
      <c r="D28" s="4">
        <v>6</v>
      </c>
      <c r="E28" s="4">
        <v>32286</v>
      </c>
      <c r="F28" s="4">
        <v>9059</v>
      </c>
      <c r="G28" s="4">
        <v>1.6710533599661872</v>
      </c>
      <c r="I28" s="5" t="s">
        <v>14</v>
      </c>
      <c r="J28" s="4">
        <v>226006</v>
      </c>
      <c r="K28" s="4">
        <v>64871</v>
      </c>
    </row>
    <row r="29" spans="3:11" x14ac:dyDescent="0.2">
      <c r="C29" s="5" t="s">
        <v>42</v>
      </c>
      <c r="D29" s="4">
        <v>7</v>
      </c>
      <c r="E29" s="4">
        <v>51006</v>
      </c>
      <c r="F29" s="4">
        <v>16260</v>
      </c>
      <c r="G29" s="4">
        <v>2.3205678748291736</v>
      </c>
      <c r="I29" s="5" t="s">
        <v>28</v>
      </c>
      <c r="J29" s="4">
        <v>329254</v>
      </c>
      <c r="K29" s="4">
        <v>101783</v>
      </c>
    </row>
    <row r="30" spans="3:11" x14ac:dyDescent="0.2">
      <c r="C30" s="5" t="s">
        <v>45</v>
      </c>
      <c r="D30" s="4">
        <v>3</v>
      </c>
      <c r="E30" s="4">
        <v>23375</v>
      </c>
      <c r="F30" s="4">
        <v>7772</v>
      </c>
      <c r="G30" s="4">
        <v>1.0805650502436053</v>
      </c>
      <c r="I30" s="5" t="s">
        <v>23</v>
      </c>
      <c r="J30" s="4">
        <v>185196</v>
      </c>
      <c r="K30" s="4">
        <v>54703</v>
      </c>
    </row>
    <row r="31" spans="3:11" x14ac:dyDescent="0.2">
      <c r="C31" s="5" t="s">
        <v>48</v>
      </c>
      <c r="D31" s="4">
        <v>6</v>
      </c>
      <c r="E31" s="4">
        <v>34068</v>
      </c>
      <c r="F31" s="4">
        <v>9084</v>
      </c>
      <c r="G31" s="4">
        <v>1.5929825487675784</v>
      </c>
      <c r="I31" s="5" t="s">
        <v>10</v>
      </c>
      <c r="J31" s="4">
        <v>213154</v>
      </c>
      <c r="K31" s="4">
        <v>64641</v>
      </c>
    </row>
    <row r="32" spans="3:11" x14ac:dyDescent="0.2">
      <c r="C32" s="5" t="s">
        <v>50</v>
      </c>
      <c r="D32" s="4">
        <v>8</v>
      </c>
      <c r="E32" s="4">
        <v>63338</v>
      </c>
      <c r="F32" s="4">
        <v>20140</v>
      </c>
      <c r="G32" s="4">
        <v>2.6209690119771341</v>
      </c>
      <c r="I32" s="5" t="s">
        <v>32</v>
      </c>
      <c r="J32" s="4">
        <v>138404</v>
      </c>
      <c r="K32" s="4">
        <v>44280</v>
      </c>
    </row>
    <row r="33" spans="3:11" x14ac:dyDescent="0.2">
      <c r="C33" s="5" t="s">
        <v>17</v>
      </c>
      <c r="D33" s="4">
        <v>9</v>
      </c>
      <c r="E33" s="4">
        <v>46380</v>
      </c>
      <c r="F33" s="4">
        <v>14581</v>
      </c>
      <c r="G33" s="4">
        <v>2.7112873522589549</v>
      </c>
      <c r="I33" s="5" t="s">
        <v>37</v>
      </c>
      <c r="J33" s="4">
        <v>211105</v>
      </c>
      <c r="K33" s="4">
        <v>66685</v>
      </c>
    </row>
    <row r="34" spans="3:11" x14ac:dyDescent="0.2">
      <c r="C34" s="5" t="s">
        <v>31</v>
      </c>
      <c r="D34" s="4">
        <v>6</v>
      </c>
      <c r="E34" s="4">
        <v>29331</v>
      </c>
      <c r="F34" s="4">
        <v>10990</v>
      </c>
      <c r="G34" s="4">
        <v>2.1208967850401423</v>
      </c>
      <c r="I34" s="5" t="s">
        <v>39</v>
      </c>
      <c r="J34" s="4">
        <v>234604</v>
      </c>
      <c r="K34" s="4">
        <v>78670</v>
      </c>
    </row>
    <row r="35" spans="3:11" x14ac:dyDescent="0.2">
      <c r="C35" s="5" t="s">
        <v>35</v>
      </c>
      <c r="D35" s="4">
        <v>8</v>
      </c>
      <c r="E35" s="4">
        <v>58836</v>
      </c>
      <c r="F35" s="4">
        <v>17629</v>
      </c>
      <c r="G35" s="4">
        <v>2.521270870977991</v>
      </c>
      <c r="I35" s="5" t="s">
        <v>20</v>
      </c>
      <c r="J35" s="4">
        <v>212326</v>
      </c>
      <c r="K35" s="4">
        <v>61198</v>
      </c>
    </row>
    <row r="36" spans="3:11" x14ac:dyDescent="0.2">
      <c r="C36" s="5" t="s">
        <v>55</v>
      </c>
      <c r="D36" s="4">
        <v>4</v>
      </c>
      <c r="E36" s="4">
        <v>18594</v>
      </c>
      <c r="F36" s="4">
        <v>6261</v>
      </c>
      <c r="G36" s="4">
        <v>1.3003944708965882</v>
      </c>
      <c r="I36" s="5" t="s">
        <v>70</v>
      </c>
      <c r="J36" s="4">
        <v>1750049</v>
      </c>
      <c r="K36" s="4">
        <v>536831</v>
      </c>
    </row>
    <row r="37" spans="3:11" x14ac:dyDescent="0.2">
      <c r="C37" s="5" t="s">
        <v>19</v>
      </c>
      <c r="D37" s="4">
        <v>18</v>
      </c>
      <c r="E37" s="4">
        <v>100314</v>
      </c>
      <c r="F37" s="4">
        <v>34836</v>
      </c>
      <c r="G37" s="4">
        <v>5.882680698796289</v>
      </c>
    </row>
    <row r="38" spans="3:11" x14ac:dyDescent="0.2">
      <c r="C38" s="5" t="s">
        <v>46</v>
      </c>
      <c r="D38" s="4">
        <v>6</v>
      </c>
      <c r="E38" s="4">
        <v>32796</v>
      </c>
      <c r="F38" s="4">
        <v>7836</v>
      </c>
      <c r="G38" s="4">
        <v>1.4207594490255631</v>
      </c>
    </row>
    <row r="39" spans="3:11" x14ac:dyDescent="0.2">
      <c r="C39" s="5" t="s">
        <v>13</v>
      </c>
      <c r="D39" s="4">
        <v>10</v>
      </c>
      <c r="E39" s="4">
        <v>51805</v>
      </c>
      <c r="F39" s="4">
        <v>14694</v>
      </c>
      <c r="G39" s="4">
        <v>3.0221464871214314</v>
      </c>
      <c r="I39" s="3" t="s">
        <v>71</v>
      </c>
      <c r="J39" t="s">
        <v>72</v>
      </c>
      <c r="K39" t="s">
        <v>73</v>
      </c>
    </row>
    <row r="40" spans="3:11" x14ac:dyDescent="0.2">
      <c r="C40" s="5" t="s">
        <v>29</v>
      </c>
      <c r="D40" s="4">
        <v>4</v>
      </c>
      <c r="E40" s="4">
        <v>15661</v>
      </c>
      <c r="F40" s="4">
        <v>3864</v>
      </c>
      <c r="G40" s="4">
        <v>1.0913129780965742</v>
      </c>
      <c r="I40" s="5" t="s">
        <v>11</v>
      </c>
      <c r="J40" s="4">
        <v>660084</v>
      </c>
      <c r="K40" s="4">
        <v>204509</v>
      </c>
    </row>
    <row r="41" spans="3:11" x14ac:dyDescent="0.2">
      <c r="C41" s="5" t="s">
        <v>38</v>
      </c>
      <c r="D41" s="4">
        <v>10</v>
      </c>
      <c r="E41" s="4">
        <v>88231</v>
      </c>
      <c r="F41" s="4">
        <v>23603</v>
      </c>
      <c r="G41" s="4">
        <v>2.6408506950821287</v>
      </c>
      <c r="I41" s="5" t="s">
        <v>24</v>
      </c>
      <c r="J41" s="4">
        <v>534705</v>
      </c>
      <c r="K41" s="4">
        <v>165668</v>
      </c>
    </row>
    <row r="42" spans="3:11" x14ac:dyDescent="0.2">
      <c r="C42" s="5" t="s">
        <v>22</v>
      </c>
      <c r="D42" s="4">
        <v>5</v>
      </c>
      <c r="E42" s="4">
        <v>34953</v>
      </c>
      <c r="F42" s="4">
        <v>7878</v>
      </c>
      <c r="G42" s="4">
        <v>1.4704645106964023</v>
      </c>
      <c r="I42" s="5" t="s">
        <v>15</v>
      </c>
      <c r="J42" s="4">
        <v>555260</v>
      </c>
      <c r="K42" s="4">
        <v>166654</v>
      </c>
    </row>
    <row r="43" spans="3:11" x14ac:dyDescent="0.2">
      <c r="C43" s="5" t="s">
        <v>61</v>
      </c>
      <c r="D43" s="4">
        <v>3</v>
      </c>
      <c r="E43" s="4">
        <v>11873</v>
      </c>
      <c r="F43" s="4">
        <v>2970</v>
      </c>
      <c r="G43" s="4">
        <v>0.78025124976727644</v>
      </c>
      <c r="I43" s="5" t="s">
        <v>70</v>
      </c>
      <c r="J43" s="4">
        <v>1750049</v>
      </c>
      <c r="K43" s="4">
        <v>536831</v>
      </c>
    </row>
    <row r="44" spans="3:11" x14ac:dyDescent="0.2">
      <c r="C44" s="5" t="s">
        <v>70</v>
      </c>
      <c r="D44" s="4">
        <v>300</v>
      </c>
      <c r="E44" s="4">
        <v>1750049</v>
      </c>
      <c r="F44" s="4">
        <v>536831</v>
      </c>
      <c r="G44" s="4">
        <v>91.407437925453081</v>
      </c>
    </row>
  </sheetData>
  <mergeCells count="2">
    <mergeCell ref="C1:G1"/>
    <mergeCell ref="C2:G2"/>
  </mergeCells>
  <pageMargins left="0.7" right="0.7" top="0.75" bottom="0.75" header="0.3" footer="0.3"/>
  <pageSetup paperSize="9" orientation="portrait" r:id="rId6"/>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1"/>
  <sheetViews>
    <sheetView tabSelected="1" topLeftCell="G1" workbookViewId="0">
      <selection activeCell="N11" sqref="N11"/>
    </sheetView>
  </sheetViews>
  <sheetFormatPr defaultRowHeight="15" x14ac:dyDescent="0.2"/>
  <cols>
    <col min="1" max="1" width="12" style="1" bestFit="1" customWidth="1"/>
    <col min="2" max="2" width="14.25" style="1" bestFit="1" customWidth="1"/>
    <col min="3" max="3" width="18.625" style="1" bestFit="1" customWidth="1"/>
    <col min="4" max="4" width="12.125" style="1" bestFit="1" customWidth="1"/>
    <col min="5" max="5" width="12.875" style="1" bestFit="1" customWidth="1"/>
    <col min="6" max="6" width="12.25" style="1" bestFit="1" customWidth="1"/>
    <col min="7" max="7" width="13.5" style="1" bestFit="1" customWidth="1"/>
    <col min="8" max="8" width="13.5" style="14" bestFit="1" customWidth="1"/>
    <col min="9" max="9" width="12.375" style="14" bestFit="1" customWidth="1"/>
    <col min="10" max="10" width="16.625" style="15" bestFit="1" customWidth="1"/>
    <col min="11" max="11" width="11.25" style="1" bestFit="1" customWidth="1"/>
    <col min="12" max="12" width="12" style="16" bestFit="1" customWidth="1"/>
    <col min="13" max="16384" width="9" style="1"/>
  </cols>
  <sheetData>
    <row r="1" spans="1:12" x14ac:dyDescent="0.2">
      <c r="A1" s="1" t="s">
        <v>0</v>
      </c>
      <c r="B1" s="1" t="s">
        <v>1</v>
      </c>
      <c r="C1" s="1" t="s">
        <v>2</v>
      </c>
      <c r="D1" s="1" t="s">
        <v>3</v>
      </c>
      <c r="E1" s="1" t="s">
        <v>4</v>
      </c>
      <c r="F1" s="1" t="s">
        <v>5</v>
      </c>
      <c r="G1" s="1" t="s">
        <v>6</v>
      </c>
      <c r="H1" s="14" t="s">
        <v>7</v>
      </c>
      <c r="I1" s="14" t="s">
        <v>64</v>
      </c>
      <c r="J1" s="15" t="s">
        <v>65</v>
      </c>
      <c r="K1" s="1" t="s">
        <v>8</v>
      </c>
      <c r="L1" s="16" t="s">
        <v>76</v>
      </c>
    </row>
    <row r="2" spans="1:12" x14ac:dyDescent="0.2">
      <c r="A2" s="1">
        <v>1</v>
      </c>
      <c r="B2" s="2">
        <v>45711</v>
      </c>
      <c r="C2" s="1" t="s">
        <v>9</v>
      </c>
      <c r="D2" s="1" t="s">
        <v>10</v>
      </c>
      <c r="E2" s="1" t="s">
        <v>11</v>
      </c>
      <c r="F2" s="1">
        <v>5</v>
      </c>
      <c r="G2" s="14">
        <v>720</v>
      </c>
      <c r="H2" s="14">
        <v>439</v>
      </c>
      <c r="I2" s="14">
        <f>G2-H2</f>
        <v>281</v>
      </c>
      <c r="J2" s="15">
        <f>Table1[[#This Row],[profit]]/Table1[[#This Row],[Revenue]]</f>
        <v>0.39027777777777778</v>
      </c>
      <c r="K2" s="1" t="s">
        <v>12</v>
      </c>
      <c r="L2" s="16">
        <f>MONTH(Table1[[#This Row],[OrderDate]])</f>
        <v>2</v>
      </c>
    </row>
    <row r="3" spans="1:12" x14ac:dyDescent="0.2">
      <c r="A3" s="1">
        <v>2</v>
      </c>
      <c r="B3" s="2">
        <v>45866</v>
      </c>
      <c r="C3" s="1" t="s">
        <v>13</v>
      </c>
      <c r="D3" s="1" t="s">
        <v>14</v>
      </c>
      <c r="E3" s="1" t="s">
        <v>15</v>
      </c>
      <c r="F3" s="1">
        <v>3</v>
      </c>
      <c r="G3" s="14">
        <v>5367</v>
      </c>
      <c r="H3" s="14">
        <v>3220</v>
      </c>
      <c r="I3" s="14">
        <f t="shared" ref="I3:I66" si="0">G3-H3</f>
        <v>2147</v>
      </c>
      <c r="J3" s="15">
        <f>Table1[[#This Row],[profit]]/Table1[[#This Row],[Revenue]]</f>
        <v>0.40003726476616358</v>
      </c>
      <c r="K3" s="1" t="s">
        <v>16</v>
      </c>
      <c r="L3" s="16">
        <f>MONTH(Table1[[#This Row],[OrderDate]])</f>
        <v>7</v>
      </c>
    </row>
    <row r="4" spans="1:12" x14ac:dyDescent="0.2">
      <c r="A4" s="1">
        <v>3</v>
      </c>
      <c r="B4" s="2">
        <v>45787</v>
      </c>
      <c r="C4" s="1" t="s">
        <v>17</v>
      </c>
      <c r="D4" s="1" t="s">
        <v>14</v>
      </c>
      <c r="E4" s="1" t="s">
        <v>15</v>
      </c>
      <c r="F4" s="1">
        <v>9</v>
      </c>
      <c r="G4" s="14">
        <v>13977</v>
      </c>
      <c r="H4" s="14">
        <v>9364</v>
      </c>
      <c r="I4" s="14">
        <f t="shared" si="0"/>
        <v>4613</v>
      </c>
      <c r="J4" s="15">
        <f>Table1[[#This Row],[profit]]/Table1[[#This Row],[Revenue]]</f>
        <v>0.33004221220576663</v>
      </c>
      <c r="K4" s="1" t="s">
        <v>18</v>
      </c>
      <c r="L4" s="16">
        <f>MONTH(Table1[[#This Row],[OrderDate]])</f>
        <v>5</v>
      </c>
    </row>
    <row r="5" spans="1:12" x14ac:dyDescent="0.2">
      <c r="A5" s="1">
        <v>4</v>
      </c>
      <c r="B5" s="2">
        <v>45718</v>
      </c>
      <c r="C5" s="1" t="s">
        <v>19</v>
      </c>
      <c r="D5" s="1" t="s">
        <v>20</v>
      </c>
      <c r="E5" s="1" t="s">
        <v>11</v>
      </c>
      <c r="F5" s="1">
        <v>3</v>
      </c>
      <c r="G5" s="14">
        <v>4197</v>
      </c>
      <c r="H5" s="14">
        <v>3147</v>
      </c>
      <c r="I5" s="14">
        <f t="shared" si="0"/>
        <v>1050</v>
      </c>
      <c r="J5" s="15">
        <f>Table1[[#This Row],[profit]]/Table1[[#This Row],[Revenue]]</f>
        <v>0.25017869907076484</v>
      </c>
      <c r="K5" s="1" t="s">
        <v>21</v>
      </c>
      <c r="L5" s="16">
        <f>MONTH(Table1[[#This Row],[OrderDate]])</f>
        <v>3</v>
      </c>
    </row>
    <row r="6" spans="1:12" x14ac:dyDescent="0.2">
      <c r="A6" s="1">
        <v>5</v>
      </c>
      <c r="B6" s="2">
        <v>45878</v>
      </c>
      <c r="C6" s="1" t="s">
        <v>22</v>
      </c>
      <c r="D6" s="1" t="s">
        <v>23</v>
      </c>
      <c r="E6" s="1" t="s">
        <v>24</v>
      </c>
      <c r="F6" s="1">
        <v>3</v>
      </c>
      <c r="G6" s="14">
        <v>4494</v>
      </c>
      <c r="H6" s="14">
        <v>2966</v>
      </c>
      <c r="I6" s="14">
        <f t="shared" si="0"/>
        <v>1528</v>
      </c>
      <c r="J6" s="15">
        <f>Table1[[#This Row],[profit]]/Table1[[#This Row],[Revenue]]</f>
        <v>0.34000890075656431</v>
      </c>
      <c r="K6" s="1" t="s">
        <v>16</v>
      </c>
      <c r="L6" s="16">
        <f>MONTH(Table1[[#This Row],[OrderDate]])</f>
        <v>8</v>
      </c>
    </row>
    <row r="7" spans="1:12" x14ac:dyDescent="0.2">
      <c r="A7" s="1">
        <v>6</v>
      </c>
      <c r="B7" s="2">
        <v>45745</v>
      </c>
      <c r="C7" s="1" t="s">
        <v>25</v>
      </c>
      <c r="D7" s="1" t="s">
        <v>23</v>
      </c>
      <c r="E7" s="1" t="s">
        <v>24</v>
      </c>
      <c r="F7" s="1">
        <v>8</v>
      </c>
      <c r="G7" s="14">
        <v>11320</v>
      </c>
      <c r="H7" s="14">
        <v>7131</v>
      </c>
      <c r="I7" s="14">
        <f t="shared" si="0"/>
        <v>4189</v>
      </c>
      <c r="J7" s="15">
        <f>Table1[[#This Row],[profit]]/Table1[[#This Row],[Revenue]]</f>
        <v>0.3700530035335689</v>
      </c>
      <c r="K7" s="1" t="s">
        <v>21</v>
      </c>
      <c r="L7" s="16">
        <f>MONTH(Table1[[#This Row],[OrderDate]])</f>
        <v>3</v>
      </c>
    </row>
    <row r="8" spans="1:12" x14ac:dyDescent="0.2">
      <c r="A8" s="1">
        <v>7</v>
      </c>
      <c r="B8" s="2">
        <v>45830</v>
      </c>
      <c r="C8" s="1" t="s">
        <v>26</v>
      </c>
      <c r="D8" s="1" t="s">
        <v>14</v>
      </c>
      <c r="E8" s="1" t="s">
        <v>15</v>
      </c>
      <c r="F8" s="1">
        <v>3</v>
      </c>
      <c r="G8" s="14">
        <v>732</v>
      </c>
      <c r="H8" s="14">
        <v>490</v>
      </c>
      <c r="I8" s="14">
        <f t="shared" si="0"/>
        <v>242</v>
      </c>
      <c r="J8" s="15">
        <f>Table1[[#This Row],[profit]]/Table1[[#This Row],[Revenue]]</f>
        <v>0.33060109289617484</v>
      </c>
      <c r="K8" s="1" t="s">
        <v>16</v>
      </c>
      <c r="L8" s="16">
        <f>MONTH(Table1[[#This Row],[OrderDate]])</f>
        <v>6</v>
      </c>
    </row>
    <row r="9" spans="1:12" x14ac:dyDescent="0.2">
      <c r="A9" s="1">
        <v>8</v>
      </c>
      <c r="B9" s="2">
        <v>45888</v>
      </c>
      <c r="C9" s="1" t="s">
        <v>27</v>
      </c>
      <c r="D9" s="1" t="s">
        <v>28</v>
      </c>
      <c r="E9" s="1" t="s">
        <v>15</v>
      </c>
      <c r="F9" s="1">
        <v>6</v>
      </c>
      <c r="G9" s="14">
        <v>1698</v>
      </c>
      <c r="H9" s="14">
        <v>1426</v>
      </c>
      <c r="I9" s="14">
        <f t="shared" si="0"/>
        <v>272</v>
      </c>
      <c r="J9" s="15">
        <f>Table1[[#This Row],[profit]]/Table1[[#This Row],[Revenue]]</f>
        <v>0.16018845700824499</v>
      </c>
      <c r="K9" s="1" t="s">
        <v>16</v>
      </c>
      <c r="L9" s="16">
        <f>MONTH(Table1[[#This Row],[OrderDate]])</f>
        <v>8</v>
      </c>
    </row>
    <row r="10" spans="1:12" x14ac:dyDescent="0.2">
      <c r="A10" s="1">
        <v>9</v>
      </c>
      <c r="B10" s="2">
        <v>45793</v>
      </c>
      <c r="C10" s="1" t="s">
        <v>29</v>
      </c>
      <c r="D10" s="1" t="s">
        <v>20</v>
      </c>
      <c r="E10" s="1" t="s">
        <v>11</v>
      </c>
      <c r="F10" s="1">
        <v>8</v>
      </c>
      <c r="G10" s="14">
        <v>9848</v>
      </c>
      <c r="H10" s="14">
        <v>7681</v>
      </c>
      <c r="I10" s="14">
        <f t="shared" si="0"/>
        <v>2167</v>
      </c>
      <c r="J10" s="15">
        <f>Table1[[#This Row],[profit]]/Table1[[#This Row],[Revenue]]</f>
        <v>0.22004467912266451</v>
      </c>
      <c r="K10" s="1" t="s">
        <v>16</v>
      </c>
      <c r="L10" s="16">
        <f>MONTH(Table1[[#This Row],[OrderDate]])</f>
        <v>5</v>
      </c>
    </row>
    <row r="11" spans="1:12" x14ac:dyDescent="0.2">
      <c r="A11" s="1">
        <v>10</v>
      </c>
      <c r="B11" s="2">
        <v>45849</v>
      </c>
      <c r="C11" s="1" t="s">
        <v>30</v>
      </c>
      <c r="D11" s="1" t="s">
        <v>14</v>
      </c>
      <c r="E11" s="1" t="s">
        <v>15</v>
      </c>
      <c r="F11" s="1">
        <v>9</v>
      </c>
      <c r="G11" s="14">
        <v>2214</v>
      </c>
      <c r="H11" s="14">
        <v>1217</v>
      </c>
      <c r="I11" s="14">
        <f t="shared" si="0"/>
        <v>997</v>
      </c>
      <c r="J11" s="15">
        <f>Table1[[#This Row],[profit]]/Table1[[#This Row],[Revenue]]</f>
        <v>0.45031616982836498</v>
      </c>
      <c r="K11" s="1" t="s">
        <v>21</v>
      </c>
      <c r="L11" s="16">
        <f>MONTH(Table1[[#This Row],[OrderDate]])</f>
        <v>7</v>
      </c>
    </row>
    <row r="12" spans="1:12" x14ac:dyDescent="0.2">
      <c r="A12" s="1">
        <v>11</v>
      </c>
      <c r="B12" s="2">
        <v>45713</v>
      </c>
      <c r="C12" s="1" t="s">
        <v>31</v>
      </c>
      <c r="D12" s="1" t="s">
        <v>32</v>
      </c>
      <c r="E12" s="1" t="s">
        <v>24</v>
      </c>
      <c r="F12" s="1">
        <v>5</v>
      </c>
      <c r="G12" s="14">
        <v>8505</v>
      </c>
      <c r="H12" s="14">
        <v>4677</v>
      </c>
      <c r="I12" s="14">
        <f t="shared" si="0"/>
        <v>3828</v>
      </c>
      <c r="J12" s="15">
        <f>Table1[[#This Row],[profit]]/Table1[[#This Row],[Revenue]]</f>
        <v>0.45008818342151674</v>
      </c>
      <c r="K12" s="1" t="s">
        <v>16</v>
      </c>
      <c r="L12" s="16">
        <f>MONTH(Table1[[#This Row],[OrderDate]])</f>
        <v>2</v>
      </c>
    </row>
    <row r="13" spans="1:12" x14ac:dyDescent="0.2">
      <c r="A13" s="1">
        <v>12</v>
      </c>
      <c r="B13" s="2">
        <v>45781</v>
      </c>
      <c r="C13" s="1" t="s">
        <v>33</v>
      </c>
      <c r="D13" s="1" t="s">
        <v>23</v>
      </c>
      <c r="E13" s="1" t="s">
        <v>24</v>
      </c>
      <c r="F13" s="1">
        <v>3</v>
      </c>
      <c r="G13" s="14">
        <v>2214</v>
      </c>
      <c r="H13" s="14">
        <v>1594</v>
      </c>
      <c r="I13" s="14">
        <f t="shared" si="0"/>
        <v>620</v>
      </c>
      <c r="J13" s="15">
        <f>Table1[[#This Row],[profit]]/Table1[[#This Row],[Revenue]]</f>
        <v>0.28003613369467029</v>
      </c>
      <c r="K13" s="1" t="s">
        <v>12</v>
      </c>
      <c r="L13" s="16">
        <f>MONTH(Table1[[#This Row],[OrderDate]])</f>
        <v>5</v>
      </c>
    </row>
    <row r="14" spans="1:12" x14ac:dyDescent="0.2">
      <c r="A14" s="1">
        <v>13</v>
      </c>
      <c r="B14" s="2">
        <v>45838</v>
      </c>
      <c r="C14" s="1" t="s">
        <v>13</v>
      </c>
      <c r="D14" s="1" t="s">
        <v>32</v>
      </c>
      <c r="E14" s="1" t="s">
        <v>24</v>
      </c>
      <c r="F14" s="1">
        <v>5</v>
      </c>
      <c r="G14" s="14">
        <v>3915</v>
      </c>
      <c r="H14" s="14">
        <v>2544</v>
      </c>
      <c r="I14" s="14">
        <f t="shared" si="0"/>
        <v>1371</v>
      </c>
      <c r="J14" s="15">
        <f>Table1[[#This Row],[profit]]/Table1[[#This Row],[Revenue]]</f>
        <v>0.35019157088122604</v>
      </c>
      <c r="K14" s="1" t="s">
        <v>16</v>
      </c>
      <c r="L14" s="16">
        <f>MONTH(Table1[[#This Row],[OrderDate]])</f>
        <v>6</v>
      </c>
    </row>
    <row r="15" spans="1:12" x14ac:dyDescent="0.2">
      <c r="A15" s="1">
        <v>14</v>
      </c>
      <c r="B15" s="2">
        <v>45962</v>
      </c>
      <c r="C15" s="1" t="s">
        <v>34</v>
      </c>
      <c r="D15" s="1" t="s">
        <v>14</v>
      </c>
      <c r="E15" s="1" t="s">
        <v>15</v>
      </c>
      <c r="F15" s="1">
        <v>10</v>
      </c>
      <c r="G15" s="14">
        <v>17310</v>
      </c>
      <c r="H15" s="14">
        <v>11770</v>
      </c>
      <c r="I15" s="14">
        <f t="shared" si="0"/>
        <v>5540</v>
      </c>
      <c r="J15" s="15">
        <f>Table1[[#This Row],[profit]]/Table1[[#This Row],[Revenue]]</f>
        <v>0.32004621606008088</v>
      </c>
      <c r="K15" s="1" t="s">
        <v>21</v>
      </c>
      <c r="L15" s="16">
        <f>MONTH(Table1[[#This Row],[OrderDate]])</f>
        <v>11</v>
      </c>
    </row>
    <row r="16" spans="1:12" x14ac:dyDescent="0.2">
      <c r="A16" s="1">
        <v>15</v>
      </c>
      <c r="B16" s="2">
        <v>45996</v>
      </c>
      <c r="C16" s="1" t="s">
        <v>35</v>
      </c>
      <c r="D16" s="1" t="s">
        <v>20</v>
      </c>
      <c r="E16" s="1" t="s">
        <v>11</v>
      </c>
      <c r="F16" s="1">
        <v>5</v>
      </c>
      <c r="G16" s="14">
        <v>2845</v>
      </c>
      <c r="H16" s="14">
        <v>1849</v>
      </c>
      <c r="I16" s="14">
        <f t="shared" si="0"/>
        <v>996</v>
      </c>
      <c r="J16" s="15">
        <f>Table1[[#This Row],[profit]]/Table1[[#This Row],[Revenue]]</f>
        <v>0.35008787346221443</v>
      </c>
      <c r="K16" s="1" t="s">
        <v>16</v>
      </c>
      <c r="L16" s="16">
        <f>MONTH(Table1[[#This Row],[OrderDate]])</f>
        <v>12</v>
      </c>
    </row>
    <row r="17" spans="1:12" x14ac:dyDescent="0.2">
      <c r="A17" s="1">
        <v>16</v>
      </c>
      <c r="B17" s="2">
        <v>45993</v>
      </c>
      <c r="C17" s="1" t="s">
        <v>36</v>
      </c>
      <c r="D17" s="1" t="s">
        <v>23</v>
      </c>
      <c r="E17" s="1" t="s">
        <v>24</v>
      </c>
      <c r="F17" s="1">
        <v>6</v>
      </c>
      <c r="G17" s="14">
        <v>6906</v>
      </c>
      <c r="H17" s="14">
        <v>5317</v>
      </c>
      <c r="I17" s="14">
        <f t="shared" si="0"/>
        <v>1589</v>
      </c>
      <c r="J17" s="15">
        <f>Table1[[#This Row],[profit]]/Table1[[#This Row],[Revenue]]</f>
        <v>0.23008977700550245</v>
      </c>
      <c r="K17" s="1" t="s">
        <v>12</v>
      </c>
      <c r="L17" s="16">
        <f>MONTH(Table1[[#This Row],[OrderDate]])</f>
        <v>12</v>
      </c>
    </row>
    <row r="18" spans="1:12" x14ac:dyDescent="0.2">
      <c r="A18" s="1">
        <v>17</v>
      </c>
      <c r="B18" s="2">
        <v>45862</v>
      </c>
      <c r="C18" s="1" t="s">
        <v>25</v>
      </c>
      <c r="D18" s="1" t="s">
        <v>37</v>
      </c>
      <c r="E18" s="1" t="s">
        <v>24</v>
      </c>
      <c r="F18" s="1">
        <v>9</v>
      </c>
      <c r="G18" s="14">
        <v>8928</v>
      </c>
      <c r="H18" s="14">
        <v>4999</v>
      </c>
      <c r="I18" s="14">
        <f t="shared" si="0"/>
        <v>3929</v>
      </c>
      <c r="J18" s="15">
        <f>Table1[[#This Row],[profit]]/Table1[[#This Row],[Revenue]]</f>
        <v>0.44007616487455198</v>
      </c>
      <c r="K18" s="1" t="s">
        <v>16</v>
      </c>
      <c r="L18" s="16">
        <f>MONTH(Table1[[#This Row],[OrderDate]])</f>
        <v>7</v>
      </c>
    </row>
    <row r="19" spans="1:12" x14ac:dyDescent="0.2">
      <c r="A19" s="1">
        <v>18</v>
      </c>
      <c r="B19" s="2">
        <v>45672</v>
      </c>
      <c r="C19" s="1" t="s">
        <v>17</v>
      </c>
      <c r="D19" s="1" t="s">
        <v>23</v>
      </c>
      <c r="E19" s="1" t="s">
        <v>24</v>
      </c>
      <c r="F19" s="1">
        <v>2</v>
      </c>
      <c r="G19" s="14">
        <v>596</v>
      </c>
      <c r="H19" s="14">
        <v>399</v>
      </c>
      <c r="I19" s="14">
        <f t="shared" si="0"/>
        <v>197</v>
      </c>
      <c r="J19" s="15">
        <f>Table1[[#This Row],[profit]]/Table1[[#This Row],[Revenue]]</f>
        <v>0.33053691275167785</v>
      </c>
      <c r="K19" s="1" t="s">
        <v>12</v>
      </c>
      <c r="L19" s="16">
        <f>MONTH(Table1[[#This Row],[OrderDate]])</f>
        <v>1</v>
      </c>
    </row>
    <row r="20" spans="1:12" x14ac:dyDescent="0.2">
      <c r="A20" s="1">
        <v>19</v>
      </c>
      <c r="B20" s="2">
        <v>45849</v>
      </c>
      <c r="C20" s="1" t="s">
        <v>26</v>
      </c>
      <c r="D20" s="1" t="s">
        <v>37</v>
      </c>
      <c r="E20" s="1" t="s">
        <v>24</v>
      </c>
      <c r="F20" s="1">
        <v>5</v>
      </c>
      <c r="G20" s="14">
        <v>1125</v>
      </c>
      <c r="H20" s="14">
        <v>652</v>
      </c>
      <c r="I20" s="14">
        <f t="shared" si="0"/>
        <v>473</v>
      </c>
      <c r="J20" s="15">
        <f>Table1[[#This Row],[profit]]/Table1[[#This Row],[Revenue]]</f>
        <v>0.42044444444444445</v>
      </c>
      <c r="K20" s="1" t="s">
        <v>12</v>
      </c>
      <c r="L20" s="16">
        <f>MONTH(Table1[[#This Row],[OrderDate]])</f>
        <v>7</v>
      </c>
    </row>
    <row r="21" spans="1:12" x14ac:dyDescent="0.2">
      <c r="A21" s="1">
        <v>20</v>
      </c>
      <c r="B21" s="2">
        <v>45711</v>
      </c>
      <c r="C21" s="1" t="s">
        <v>38</v>
      </c>
      <c r="D21" s="1" t="s">
        <v>39</v>
      </c>
      <c r="E21" s="1" t="s">
        <v>11</v>
      </c>
      <c r="F21" s="1">
        <v>8</v>
      </c>
      <c r="G21" s="14">
        <v>8720</v>
      </c>
      <c r="H21" s="14">
        <v>5232</v>
      </c>
      <c r="I21" s="14">
        <f t="shared" si="0"/>
        <v>3488</v>
      </c>
      <c r="J21" s="15">
        <f>Table1[[#This Row],[profit]]/Table1[[#This Row],[Revenue]]</f>
        <v>0.4</v>
      </c>
      <c r="K21" s="1" t="s">
        <v>21</v>
      </c>
      <c r="L21" s="16">
        <f>MONTH(Table1[[#This Row],[OrderDate]])</f>
        <v>2</v>
      </c>
    </row>
    <row r="22" spans="1:12" x14ac:dyDescent="0.2">
      <c r="A22" s="1">
        <v>21</v>
      </c>
      <c r="B22" s="2">
        <v>45853</v>
      </c>
      <c r="C22" s="1" t="s">
        <v>27</v>
      </c>
      <c r="D22" s="1" t="s">
        <v>32</v>
      </c>
      <c r="E22" s="1" t="s">
        <v>24</v>
      </c>
      <c r="F22" s="1">
        <v>3</v>
      </c>
      <c r="G22" s="14">
        <v>2034</v>
      </c>
      <c r="H22" s="14">
        <v>1586</v>
      </c>
      <c r="I22" s="14">
        <f t="shared" si="0"/>
        <v>448</v>
      </c>
      <c r="J22" s="15">
        <f>Table1[[#This Row],[profit]]/Table1[[#This Row],[Revenue]]</f>
        <v>0.22025565388397247</v>
      </c>
      <c r="K22" s="1" t="s">
        <v>21</v>
      </c>
      <c r="L22" s="16">
        <f>MONTH(Table1[[#This Row],[OrderDate]])</f>
        <v>7</v>
      </c>
    </row>
    <row r="23" spans="1:12" x14ac:dyDescent="0.2">
      <c r="A23" s="1">
        <v>22</v>
      </c>
      <c r="B23" s="2">
        <v>45925</v>
      </c>
      <c r="C23" s="1" t="s">
        <v>40</v>
      </c>
      <c r="D23" s="1" t="s">
        <v>10</v>
      </c>
      <c r="E23" s="1" t="s">
        <v>11</v>
      </c>
      <c r="F23" s="1">
        <v>1</v>
      </c>
      <c r="G23" s="14">
        <v>1111</v>
      </c>
      <c r="H23" s="14">
        <v>877</v>
      </c>
      <c r="I23" s="14">
        <f t="shared" si="0"/>
        <v>234</v>
      </c>
      <c r="J23" s="15">
        <f>Table1[[#This Row],[profit]]/Table1[[#This Row],[Revenue]]</f>
        <v>0.21062106210621062</v>
      </c>
      <c r="K23" s="1" t="s">
        <v>18</v>
      </c>
      <c r="L23" s="16">
        <f>MONTH(Table1[[#This Row],[OrderDate]])</f>
        <v>9</v>
      </c>
    </row>
    <row r="24" spans="1:12" x14ac:dyDescent="0.2">
      <c r="A24" s="1">
        <v>23</v>
      </c>
      <c r="B24" s="2">
        <v>45802</v>
      </c>
      <c r="C24" s="1" t="s">
        <v>19</v>
      </c>
      <c r="D24" s="1" t="s">
        <v>32</v>
      </c>
      <c r="E24" s="1" t="s">
        <v>24</v>
      </c>
      <c r="F24" s="1">
        <v>4</v>
      </c>
      <c r="G24" s="14">
        <v>6988</v>
      </c>
      <c r="H24" s="14">
        <v>4402</v>
      </c>
      <c r="I24" s="14">
        <f t="shared" si="0"/>
        <v>2586</v>
      </c>
      <c r="J24" s="15">
        <f>Table1[[#This Row],[profit]]/Table1[[#This Row],[Revenue]]</f>
        <v>0.37006296508299941</v>
      </c>
      <c r="K24" s="1" t="s">
        <v>12</v>
      </c>
      <c r="L24" s="16">
        <f>MONTH(Table1[[#This Row],[OrderDate]])</f>
        <v>5</v>
      </c>
    </row>
    <row r="25" spans="1:12" x14ac:dyDescent="0.2">
      <c r="A25" s="1">
        <v>24</v>
      </c>
      <c r="B25" s="2">
        <v>45783</v>
      </c>
      <c r="C25" s="1" t="s">
        <v>17</v>
      </c>
      <c r="D25" s="1" t="s">
        <v>10</v>
      </c>
      <c r="E25" s="1" t="s">
        <v>11</v>
      </c>
      <c r="F25" s="1">
        <v>10</v>
      </c>
      <c r="G25" s="14">
        <v>1860</v>
      </c>
      <c r="H25" s="14">
        <v>1339</v>
      </c>
      <c r="I25" s="14">
        <f t="shared" si="0"/>
        <v>521</v>
      </c>
      <c r="J25" s="15">
        <f>Table1[[#This Row],[profit]]/Table1[[#This Row],[Revenue]]</f>
        <v>0.28010752688172041</v>
      </c>
      <c r="K25" s="1" t="s">
        <v>21</v>
      </c>
      <c r="L25" s="16">
        <f>MONTH(Table1[[#This Row],[OrderDate]])</f>
        <v>5</v>
      </c>
    </row>
    <row r="26" spans="1:12" x14ac:dyDescent="0.2">
      <c r="A26" s="1">
        <v>25</v>
      </c>
      <c r="B26" s="2">
        <v>45916</v>
      </c>
      <c r="C26" s="1" t="s">
        <v>41</v>
      </c>
      <c r="D26" s="1" t="s">
        <v>37</v>
      </c>
      <c r="E26" s="1" t="s">
        <v>24</v>
      </c>
      <c r="F26" s="1">
        <v>2</v>
      </c>
      <c r="G26" s="14">
        <v>2254</v>
      </c>
      <c r="H26" s="14">
        <v>1780</v>
      </c>
      <c r="I26" s="14">
        <f t="shared" si="0"/>
        <v>474</v>
      </c>
      <c r="J26" s="15">
        <f>Table1[[#This Row],[profit]]/Table1[[#This Row],[Revenue]]</f>
        <v>0.21029281277728482</v>
      </c>
      <c r="K26" s="1" t="s">
        <v>12</v>
      </c>
      <c r="L26" s="16">
        <f>MONTH(Table1[[#This Row],[OrderDate]])</f>
        <v>9</v>
      </c>
    </row>
    <row r="27" spans="1:12" x14ac:dyDescent="0.2">
      <c r="A27" s="1">
        <v>26</v>
      </c>
      <c r="B27" s="2">
        <v>45713</v>
      </c>
      <c r="C27" s="1" t="s">
        <v>22</v>
      </c>
      <c r="D27" s="1" t="s">
        <v>10</v>
      </c>
      <c r="E27" s="1" t="s">
        <v>11</v>
      </c>
      <c r="F27" s="1">
        <v>7</v>
      </c>
      <c r="G27" s="14">
        <v>6510</v>
      </c>
      <c r="H27" s="14">
        <v>4557</v>
      </c>
      <c r="I27" s="14">
        <f t="shared" si="0"/>
        <v>1953</v>
      </c>
      <c r="J27" s="15">
        <f>Table1[[#This Row],[profit]]/Table1[[#This Row],[Revenue]]</f>
        <v>0.3</v>
      </c>
      <c r="K27" s="1" t="s">
        <v>21</v>
      </c>
      <c r="L27" s="16">
        <f>MONTH(Table1[[#This Row],[OrderDate]])</f>
        <v>2</v>
      </c>
    </row>
    <row r="28" spans="1:12" x14ac:dyDescent="0.2">
      <c r="A28" s="1">
        <v>27</v>
      </c>
      <c r="B28" s="2">
        <v>45793</v>
      </c>
      <c r="C28" s="1" t="s">
        <v>42</v>
      </c>
      <c r="D28" s="1" t="s">
        <v>20</v>
      </c>
      <c r="E28" s="1" t="s">
        <v>11</v>
      </c>
      <c r="F28" s="1">
        <v>10</v>
      </c>
      <c r="G28" s="14">
        <v>18250</v>
      </c>
      <c r="H28" s="14">
        <v>14052</v>
      </c>
      <c r="I28" s="14">
        <f t="shared" si="0"/>
        <v>4198</v>
      </c>
      <c r="J28" s="15">
        <f>Table1[[#This Row],[profit]]/Table1[[#This Row],[Revenue]]</f>
        <v>0.23002739726027396</v>
      </c>
      <c r="K28" s="1" t="s">
        <v>21</v>
      </c>
      <c r="L28" s="16">
        <f>MONTH(Table1[[#This Row],[OrderDate]])</f>
        <v>5</v>
      </c>
    </row>
    <row r="29" spans="1:12" x14ac:dyDescent="0.2">
      <c r="A29" s="1">
        <v>28</v>
      </c>
      <c r="B29" s="2">
        <v>45959</v>
      </c>
      <c r="C29" s="1" t="s">
        <v>43</v>
      </c>
      <c r="D29" s="1" t="s">
        <v>28</v>
      </c>
      <c r="E29" s="1" t="s">
        <v>15</v>
      </c>
      <c r="F29" s="1">
        <v>9</v>
      </c>
      <c r="G29" s="14">
        <v>3159</v>
      </c>
      <c r="H29" s="14">
        <v>2400</v>
      </c>
      <c r="I29" s="14">
        <f t="shared" si="0"/>
        <v>759</v>
      </c>
      <c r="J29" s="15">
        <f>Table1[[#This Row],[profit]]/Table1[[#This Row],[Revenue]]</f>
        <v>0.2402659069325736</v>
      </c>
      <c r="K29" s="1" t="s">
        <v>12</v>
      </c>
      <c r="L29" s="16">
        <f>MONTH(Table1[[#This Row],[OrderDate]])</f>
        <v>10</v>
      </c>
    </row>
    <row r="30" spans="1:12" x14ac:dyDescent="0.2">
      <c r="A30" s="1">
        <v>29</v>
      </c>
      <c r="B30" s="2">
        <v>45677</v>
      </c>
      <c r="C30" s="1" t="s">
        <v>17</v>
      </c>
      <c r="D30" s="1" t="s">
        <v>37</v>
      </c>
      <c r="E30" s="1" t="s">
        <v>24</v>
      </c>
      <c r="F30" s="1">
        <v>9</v>
      </c>
      <c r="G30" s="14">
        <v>7785</v>
      </c>
      <c r="H30" s="14">
        <v>4671</v>
      </c>
      <c r="I30" s="14">
        <f t="shared" si="0"/>
        <v>3114</v>
      </c>
      <c r="J30" s="15">
        <f>Table1[[#This Row],[profit]]/Table1[[#This Row],[Revenue]]</f>
        <v>0.4</v>
      </c>
      <c r="K30" s="1" t="s">
        <v>12</v>
      </c>
      <c r="L30" s="16">
        <f>MONTH(Table1[[#This Row],[OrderDate]])</f>
        <v>1</v>
      </c>
    </row>
    <row r="31" spans="1:12" x14ac:dyDescent="0.2">
      <c r="A31" s="1">
        <v>30</v>
      </c>
      <c r="B31" s="2">
        <v>45679</v>
      </c>
      <c r="C31" s="1" t="s">
        <v>35</v>
      </c>
      <c r="D31" s="1" t="s">
        <v>28</v>
      </c>
      <c r="E31" s="1" t="s">
        <v>15</v>
      </c>
      <c r="F31" s="1">
        <v>8</v>
      </c>
      <c r="G31" s="14">
        <v>14528</v>
      </c>
      <c r="H31" s="14">
        <v>9733</v>
      </c>
      <c r="I31" s="14">
        <f t="shared" si="0"/>
        <v>4795</v>
      </c>
      <c r="J31" s="15">
        <f>Table1[[#This Row],[profit]]/Table1[[#This Row],[Revenue]]</f>
        <v>0.33005231277533037</v>
      </c>
      <c r="K31" s="1" t="s">
        <v>12</v>
      </c>
      <c r="L31" s="16">
        <f>MONTH(Table1[[#This Row],[OrderDate]])</f>
        <v>1</v>
      </c>
    </row>
    <row r="32" spans="1:12" x14ac:dyDescent="0.2">
      <c r="A32" s="1">
        <v>31</v>
      </c>
      <c r="B32" s="2">
        <v>45913</v>
      </c>
      <c r="C32" s="1" t="s">
        <v>44</v>
      </c>
      <c r="D32" s="1" t="s">
        <v>10</v>
      </c>
      <c r="E32" s="1" t="s">
        <v>11</v>
      </c>
      <c r="F32" s="1">
        <v>9</v>
      </c>
      <c r="G32" s="14">
        <v>11943</v>
      </c>
      <c r="H32" s="14">
        <v>6568</v>
      </c>
      <c r="I32" s="14">
        <f t="shared" si="0"/>
        <v>5375</v>
      </c>
      <c r="J32" s="15">
        <f>Table1[[#This Row],[profit]]/Table1[[#This Row],[Revenue]]</f>
        <v>0.45005442518630162</v>
      </c>
      <c r="K32" s="1" t="s">
        <v>16</v>
      </c>
      <c r="L32" s="16">
        <f>MONTH(Table1[[#This Row],[OrderDate]])</f>
        <v>9</v>
      </c>
    </row>
    <row r="33" spans="1:12" x14ac:dyDescent="0.2">
      <c r="A33" s="1">
        <v>32</v>
      </c>
      <c r="B33" s="2">
        <v>45731</v>
      </c>
      <c r="C33" s="1" t="s">
        <v>45</v>
      </c>
      <c r="D33" s="1" t="s">
        <v>10</v>
      </c>
      <c r="E33" s="1" t="s">
        <v>11</v>
      </c>
      <c r="F33" s="1">
        <v>7</v>
      </c>
      <c r="G33" s="14">
        <v>7259</v>
      </c>
      <c r="H33" s="14">
        <v>4355</v>
      </c>
      <c r="I33" s="14">
        <f t="shared" si="0"/>
        <v>2904</v>
      </c>
      <c r="J33" s="15">
        <f>Table1[[#This Row],[profit]]/Table1[[#This Row],[Revenue]]</f>
        <v>0.40005510400881666</v>
      </c>
      <c r="K33" s="1" t="s">
        <v>16</v>
      </c>
      <c r="L33" s="16">
        <f>MONTH(Table1[[#This Row],[OrderDate]])</f>
        <v>3</v>
      </c>
    </row>
    <row r="34" spans="1:12" x14ac:dyDescent="0.2">
      <c r="A34" s="1">
        <v>33</v>
      </c>
      <c r="B34" s="2">
        <v>45828</v>
      </c>
      <c r="C34" s="1" t="s">
        <v>36</v>
      </c>
      <c r="D34" s="1" t="s">
        <v>39</v>
      </c>
      <c r="E34" s="1" t="s">
        <v>11</v>
      </c>
      <c r="F34" s="1">
        <v>3</v>
      </c>
      <c r="G34" s="14">
        <v>4644</v>
      </c>
      <c r="H34" s="14">
        <v>3204</v>
      </c>
      <c r="I34" s="14">
        <f t="shared" si="0"/>
        <v>1440</v>
      </c>
      <c r="J34" s="15">
        <f>Table1[[#This Row],[profit]]/Table1[[#This Row],[Revenue]]</f>
        <v>0.31007751937984496</v>
      </c>
      <c r="K34" s="1" t="s">
        <v>12</v>
      </c>
      <c r="L34" s="16">
        <f>MONTH(Table1[[#This Row],[OrderDate]])</f>
        <v>6</v>
      </c>
    </row>
    <row r="35" spans="1:12" x14ac:dyDescent="0.2">
      <c r="A35" s="1">
        <v>34</v>
      </c>
      <c r="B35" s="2">
        <v>45818</v>
      </c>
      <c r="C35" s="1" t="s">
        <v>46</v>
      </c>
      <c r="D35" s="1" t="s">
        <v>39</v>
      </c>
      <c r="E35" s="1" t="s">
        <v>11</v>
      </c>
      <c r="F35" s="1">
        <v>1</v>
      </c>
      <c r="G35" s="14">
        <v>1156</v>
      </c>
      <c r="H35" s="14">
        <v>890</v>
      </c>
      <c r="I35" s="14">
        <f t="shared" si="0"/>
        <v>266</v>
      </c>
      <c r="J35" s="15">
        <f>Table1[[#This Row],[profit]]/Table1[[#This Row],[Revenue]]</f>
        <v>0.2301038062283737</v>
      </c>
      <c r="K35" s="1" t="s">
        <v>21</v>
      </c>
      <c r="L35" s="16">
        <f>MONTH(Table1[[#This Row],[OrderDate]])</f>
        <v>6</v>
      </c>
    </row>
    <row r="36" spans="1:12" x14ac:dyDescent="0.2">
      <c r="A36" s="1">
        <v>35</v>
      </c>
      <c r="B36" s="2">
        <v>45831</v>
      </c>
      <c r="C36" s="1" t="s">
        <v>30</v>
      </c>
      <c r="D36" s="1" t="s">
        <v>28</v>
      </c>
      <c r="E36" s="1" t="s">
        <v>15</v>
      </c>
      <c r="F36" s="1">
        <v>4</v>
      </c>
      <c r="G36" s="14">
        <v>5520</v>
      </c>
      <c r="H36" s="14">
        <v>4636</v>
      </c>
      <c r="I36" s="14">
        <f t="shared" si="0"/>
        <v>884</v>
      </c>
      <c r="J36" s="15">
        <f>Table1[[#This Row],[profit]]/Table1[[#This Row],[Revenue]]</f>
        <v>0.16014492753623188</v>
      </c>
      <c r="K36" s="1" t="s">
        <v>12</v>
      </c>
      <c r="L36" s="16">
        <f>MONTH(Table1[[#This Row],[OrderDate]])</f>
        <v>6</v>
      </c>
    </row>
    <row r="37" spans="1:12" x14ac:dyDescent="0.2">
      <c r="A37" s="1">
        <v>36</v>
      </c>
      <c r="B37" s="2">
        <v>45674</v>
      </c>
      <c r="C37" s="1" t="s">
        <v>47</v>
      </c>
      <c r="D37" s="1" t="s">
        <v>14</v>
      </c>
      <c r="E37" s="1" t="s">
        <v>15</v>
      </c>
      <c r="F37" s="1">
        <v>3</v>
      </c>
      <c r="G37" s="14">
        <v>2055</v>
      </c>
      <c r="H37" s="14">
        <v>1294</v>
      </c>
      <c r="I37" s="14">
        <f t="shared" si="0"/>
        <v>761</v>
      </c>
      <c r="J37" s="15">
        <f>Table1[[#This Row],[profit]]/Table1[[#This Row],[Revenue]]</f>
        <v>0.37031630170316304</v>
      </c>
      <c r="K37" s="1" t="s">
        <v>12</v>
      </c>
      <c r="L37" s="16">
        <f>MONTH(Table1[[#This Row],[OrderDate]])</f>
        <v>1</v>
      </c>
    </row>
    <row r="38" spans="1:12" x14ac:dyDescent="0.2">
      <c r="A38" s="1">
        <v>37</v>
      </c>
      <c r="B38" s="2">
        <v>45825</v>
      </c>
      <c r="C38" s="1" t="s">
        <v>48</v>
      </c>
      <c r="D38" s="1" t="s">
        <v>28</v>
      </c>
      <c r="E38" s="1" t="s">
        <v>15</v>
      </c>
      <c r="F38" s="1">
        <v>4</v>
      </c>
      <c r="G38" s="14">
        <v>7780</v>
      </c>
      <c r="H38" s="14">
        <v>6068</v>
      </c>
      <c r="I38" s="14">
        <f t="shared" si="0"/>
        <v>1712</v>
      </c>
      <c r="J38" s="15">
        <f>Table1[[#This Row],[profit]]/Table1[[#This Row],[Revenue]]</f>
        <v>0.22005141388174806</v>
      </c>
      <c r="K38" s="1" t="s">
        <v>12</v>
      </c>
      <c r="L38" s="16">
        <f>MONTH(Table1[[#This Row],[OrderDate]])</f>
        <v>6</v>
      </c>
    </row>
    <row r="39" spans="1:12" x14ac:dyDescent="0.2">
      <c r="A39" s="1">
        <v>38</v>
      </c>
      <c r="B39" s="2">
        <v>45676</v>
      </c>
      <c r="C39" s="1" t="s">
        <v>35</v>
      </c>
      <c r="D39" s="1" t="s">
        <v>39</v>
      </c>
      <c r="E39" s="1" t="s">
        <v>11</v>
      </c>
      <c r="F39" s="1">
        <v>8</v>
      </c>
      <c r="G39" s="14">
        <v>14672</v>
      </c>
      <c r="H39" s="14">
        <v>11444</v>
      </c>
      <c r="I39" s="14">
        <f t="shared" si="0"/>
        <v>3228</v>
      </c>
      <c r="J39" s="15">
        <f>Table1[[#This Row],[profit]]/Table1[[#This Row],[Revenue]]</f>
        <v>0.22001090512540894</v>
      </c>
      <c r="K39" s="1" t="s">
        <v>12</v>
      </c>
      <c r="L39" s="16">
        <f>MONTH(Table1[[#This Row],[OrderDate]])</f>
        <v>1</v>
      </c>
    </row>
    <row r="40" spans="1:12" x14ac:dyDescent="0.2">
      <c r="A40" s="1">
        <v>39</v>
      </c>
      <c r="B40" s="2">
        <v>45909</v>
      </c>
      <c r="C40" s="1" t="s">
        <v>36</v>
      </c>
      <c r="D40" s="1" t="s">
        <v>28</v>
      </c>
      <c r="E40" s="1" t="s">
        <v>15</v>
      </c>
      <c r="F40" s="1">
        <v>6</v>
      </c>
      <c r="G40" s="14">
        <v>5688</v>
      </c>
      <c r="H40" s="14">
        <v>3924</v>
      </c>
      <c r="I40" s="14">
        <f t="shared" si="0"/>
        <v>1764</v>
      </c>
      <c r="J40" s="15">
        <f>Table1[[#This Row],[profit]]/Table1[[#This Row],[Revenue]]</f>
        <v>0.310126582278481</v>
      </c>
      <c r="K40" s="1" t="s">
        <v>12</v>
      </c>
      <c r="L40" s="16">
        <f>MONTH(Table1[[#This Row],[OrderDate]])</f>
        <v>9</v>
      </c>
    </row>
    <row r="41" spans="1:12" x14ac:dyDescent="0.2">
      <c r="A41" s="1">
        <v>40</v>
      </c>
      <c r="B41" s="2">
        <v>45693</v>
      </c>
      <c r="C41" s="1" t="s">
        <v>46</v>
      </c>
      <c r="D41" s="1" t="s">
        <v>39</v>
      </c>
      <c r="E41" s="1" t="s">
        <v>11</v>
      </c>
      <c r="F41" s="1">
        <v>10</v>
      </c>
      <c r="G41" s="14">
        <v>1770</v>
      </c>
      <c r="H41" s="14">
        <v>1469</v>
      </c>
      <c r="I41" s="14">
        <f t="shared" si="0"/>
        <v>301</v>
      </c>
      <c r="J41" s="15">
        <f>Table1[[#This Row],[profit]]/Table1[[#This Row],[Revenue]]</f>
        <v>0.17005649717514124</v>
      </c>
      <c r="K41" s="1" t="s">
        <v>18</v>
      </c>
      <c r="L41" s="16">
        <f>MONTH(Table1[[#This Row],[OrderDate]])</f>
        <v>2</v>
      </c>
    </row>
    <row r="42" spans="1:12" x14ac:dyDescent="0.2">
      <c r="A42" s="1">
        <v>41</v>
      </c>
      <c r="B42" s="2">
        <v>45988</v>
      </c>
      <c r="C42" s="1" t="s">
        <v>19</v>
      </c>
      <c r="D42" s="1" t="s">
        <v>37</v>
      </c>
      <c r="E42" s="1" t="s">
        <v>24</v>
      </c>
      <c r="F42" s="1">
        <v>2</v>
      </c>
      <c r="G42" s="14">
        <v>2874</v>
      </c>
      <c r="H42" s="14">
        <v>1781</v>
      </c>
      <c r="I42" s="14">
        <f t="shared" si="0"/>
        <v>1093</v>
      </c>
      <c r="J42" s="15">
        <f>Table1[[#This Row],[profit]]/Table1[[#This Row],[Revenue]]</f>
        <v>0.38030619345859429</v>
      </c>
      <c r="K42" s="1" t="s">
        <v>16</v>
      </c>
      <c r="L42" s="16">
        <f>MONTH(Table1[[#This Row],[OrderDate]])</f>
        <v>11</v>
      </c>
    </row>
    <row r="43" spans="1:12" x14ac:dyDescent="0.2">
      <c r="A43" s="1">
        <v>42</v>
      </c>
      <c r="B43" s="2">
        <v>45792</v>
      </c>
      <c r="C43" s="1" t="s">
        <v>42</v>
      </c>
      <c r="D43" s="1" t="s">
        <v>10</v>
      </c>
      <c r="E43" s="1" t="s">
        <v>11</v>
      </c>
      <c r="F43" s="1">
        <v>3</v>
      </c>
      <c r="G43" s="14">
        <v>5307</v>
      </c>
      <c r="H43" s="14">
        <v>3237</v>
      </c>
      <c r="I43" s="14">
        <f t="shared" si="0"/>
        <v>2070</v>
      </c>
      <c r="J43" s="15">
        <f>Table1[[#This Row],[profit]]/Table1[[#This Row],[Revenue]]</f>
        <v>0.39005087620124362</v>
      </c>
      <c r="K43" s="1" t="s">
        <v>21</v>
      </c>
      <c r="L43" s="16">
        <f>MONTH(Table1[[#This Row],[OrderDate]])</f>
        <v>5</v>
      </c>
    </row>
    <row r="44" spans="1:12" x14ac:dyDescent="0.2">
      <c r="A44" s="1">
        <v>43</v>
      </c>
      <c r="B44" s="2">
        <v>45695</v>
      </c>
      <c r="C44" s="1" t="s">
        <v>49</v>
      </c>
      <c r="D44" s="1" t="s">
        <v>20</v>
      </c>
      <c r="E44" s="1" t="s">
        <v>11</v>
      </c>
      <c r="F44" s="1">
        <v>5</v>
      </c>
      <c r="G44" s="14">
        <v>1315</v>
      </c>
      <c r="H44" s="14">
        <v>1012</v>
      </c>
      <c r="I44" s="14">
        <f t="shared" si="0"/>
        <v>303</v>
      </c>
      <c r="J44" s="15">
        <f>Table1[[#This Row],[profit]]/Table1[[#This Row],[Revenue]]</f>
        <v>0.23041825095057034</v>
      </c>
      <c r="K44" s="1" t="s">
        <v>21</v>
      </c>
      <c r="L44" s="16">
        <f>MONTH(Table1[[#This Row],[OrderDate]])</f>
        <v>2</v>
      </c>
    </row>
    <row r="45" spans="1:12" x14ac:dyDescent="0.2">
      <c r="A45" s="1">
        <v>44</v>
      </c>
      <c r="B45" s="2">
        <v>45893</v>
      </c>
      <c r="C45" s="1" t="s">
        <v>44</v>
      </c>
      <c r="D45" s="1" t="s">
        <v>28</v>
      </c>
      <c r="E45" s="1" t="s">
        <v>15</v>
      </c>
      <c r="F45" s="1">
        <v>8</v>
      </c>
      <c r="G45" s="14">
        <v>13544</v>
      </c>
      <c r="H45" s="14">
        <v>8261</v>
      </c>
      <c r="I45" s="14">
        <f t="shared" si="0"/>
        <v>5283</v>
      </c>
      <c r="J45" s="15">
        <f>Table1[[#This Row],[profit]]/Table1[[#This Row],[Revenue]]</f>
        <v>0.39006202008269342</v>
      </c>
      <c r="K45" s="1" t="s">
        <v>12</v>
      </c>
      <c r="L45" s="16">
        <f>MONTH(Table1[[#This Row],[OrderDate]])</f>
        <v>8</v>
      </c>
    </row>
    <row r="46" spans="1:12" x14ac:dyDescent="0.2">
      <c r="A46" s="1">
        <v>45</v>
      </c>
      <c r="B46" s="2">
        <v>45994</v>
      </c>
      <c r="C46" s="1" t="s">
        <v>50</v>
      </c>
      <c r="D46" s="1" t="s">
        <v>23</v>
      </c>
      <c r="E46" s="1" t="s">
        <v>24</v>
      </c>
      <c r="F46" s="1">
        <v>10</v>
      </c>
      <c r="G46" s="14">
        <v>9960</v>
      </c>
      <c r="H46" s="14">
        <v>5478</v>
      </c>
      <c r="I46" s="14">
        <f t="shared" si="0"/>
        <v>4482</v>
      </c>
      <c r="J46" s="15">
        <f>Table1[[#This Row],[profit]]/Table1[[#This Row],[Revenue]]</f>
        <v>0.45</v>
      </c>
      <c r="K46" s="1" t="s">
        <v>21</v>
      </c>
      <c r="L46" s="16">
        <f>MONTH(Table1[[#This Row],[OrderDate]])</f>
        <v>12</v>
      </c>
    </row>
    <row r="47" spans="1:12" x14ac:dyDescent="0.2">
      <c r="A47" s="1">
        <v>46</v>
      </c>
      <c r="B47" s="2">
        <v>45893</v>
      </c>
      <c r="C47" s="1" t="s">
        <v>48</v>
      </c>
      <c r="D47" s="1" t="s">
        <v>14</v>
      </c>
      <c r="E47" s="1" t="s">
        <v>15</v>
      </c>
      <c r="F47" s="1">
        <v>4</v>
      </c>
      <c r="G47" s="14">
        <v>1532</v>
      </c>
      <c r="H47" s="14">
        <v>1103</v>
      </c>
      <c r="I47" s="14">
        <f t="shared" si="0"/>
        <v>429</v>
      </c>
      <c r="J47" s="15">
        <f>Table1[[#This Row],[profit]]/Table1[[#This Row],[Revenue]]</f>
        <v>0.2800261096605744</v>
      </c>
      <c r="K47" s="1" t="s">
        <v>12</v>
      </c>
      <c r="L47" s="16">
        <f>MONTH(Table1[[#This Row],[OrderDate]])</f>
        <v>8</v>
      </c>
    </row>
    <row r="48" spans="1:12" x14ac:dyDescent="0.2">
      <c r="A48" s="1">
        <v>47</v>
      </c>
      <c r="B48" s="2">
        <v>45823</v>
      </c>
      <c r="C48" s="1" t="s">
        <v>49</v>
      </c>
      <c r="D48" s="1" t="s">
        <v>37</v>
      </c>
      <c r="E48" s="1" t="s">
        <v>24</v>
      </c>
      <c r="F48" s="1">
        <v>10</v>
      </c>
      <c r="G48" s="14">
        <v>14070</v>
      </c>
      <c r="H48" s="14">
        <v>9708</v>
      </c>
      <c r="I48" s="14">
        <f t="shared" si="0"/>
        <v>4362</v>
      </c>
      <c r="J48" s="15">
        <f>Table1[[#This Row],[profit]]/Table1[[#This Row],[Revenue]]</f>
        <v>0.31002132196162047</v>
      </c>
      <c r="K48" s="1" t="s">
        <v>21</v>
      </c>
      <c r="L48" s="16">
        <f>MONTH(Table1[[#This Row],[OrderDate]])</f>
        <v>6</v>
      </c>
    </row>
    <row r="49" spans="1:12" x14ac:dyDescent="0.2">
      <c r="A49" s="1">
        <v>48</v>
      </c>
      <c r="B49" s="2">
        <v>45820</v>
      </c>
      <c r="C49" s="1" t="s">
        <v>51</v>
      </c>
      <c r="D49" s="1" t="s">
        <v>28</v>
      </c>
      <c r="E49" s="1" t="s">
        <v>15</v>
      </c>
      <c r="F49" s="1">
        <v>5</v>
      </c>
      <c r="G49" s="14">
        <v>4265</v>
      </c>
      <c r="H49" s="14">
        <v>3369</v>
      </c>
      <c r="I49" s="14">
        <f t="shared" si="0"/>
        <v>896</v>
      </c>
      <c r="J49" s="15">
        <f>Table1[[#This Row],[profit]]/Table1[[#This Row],[Revenue]]</f>
        <v>0.21008206330597889</v>
      </c>
      <c r="K49" s="1" t="s">
        <v>12</v>
      </c>
      <c r="L49" s="16">
        <f>MONTH(Table1[[#This Row],[OrderDate]])</f>
        <v>6</v>
      </c>
    </row>
    <row r="50" spans="1:12" x14ac:dyDescent="0.2">
      <c r="A50" s="1">
        <v>49</v>
      </c>
      <c r="B50" s="2">
        <v>45734</v>
      </c>
      <c r="C50" s="1" t="s">
        <v>27</v>
      </c>
      <c r="D50" s="1" t="s">
        <v>37</v>
      </c>
      <c r="E50" s="1" t="s">
        <v>24</v>
      </c>
      <c r="F50" s="1">
        <v>2</v>
      </c>
      <c r="G50" s="14">
        <v>3836</v>
      </c>
      <c r="H50" s="14">
        <v>3260</v>
      </c>
      <c r="I50" s="14">
        <f t="shared" si="0"/>
        <v>576</v>
      </c>
      <c r="J50" s="15">
        <f>Table1[[#This Row],[profit]]/Table1[[#This Row],[Revenue]]</f>
        <v>0.15015641293013557</v>
      </c>
      <c r="K50" s="1" t="s">
        <v>16</v>
      </c>
      <c r="L50" s="16">
        <f>MONTH(Table1[[#This Row],[OrderDate]])</f>
        <v>3</v>
      </c>
    </row>
    <row r="51" spans="1:12" x14ac:dyDescent="0.2">
      <c r="A51" s="1">
        <v>50</v>
      </c>
      <c r="B51" s="2">
        <v>45728</v>
      </c>
      <c r="C51" s="1" t="s">
        <v>19</v>
      </c>
      <c r="D51" s="1" t="s">
        <v>37</v>
      </c>
      <c r="E51" s="1" t="s">
        <v>24</v>
      </c>
      <c r="F51" s="1">
        <v>9</v>
      </c>
      <c r="G51" s="14">
        <v>7002</v>
      </c>
      <c r="H51" s="14">
        <v>4901</v>
      </c>
      <c r="I51" s="14">
        <f t="shared" si="0"/>
        <v>2101</v>
      </c>
      <c r="J51" s="15">
        <f>Table1[[#This Row],[profit]]/Table1[[#This Row],[Revenue]]</f>
        <v>0.30005712653527561</v>
      </c>
      <c r="K51" s="1" t="s">
        <v>16</v>
      </c>
      <c r="L51" s="16">
        <f>MONTH(Table1[[#This Row],[OrderDate]])</f>
        <v>3</v>
      </c>
    </row>
    <row r="52" spans="1:12" x14ac:dyDescent="0.2">
      <c r="A52" s="1">
        <v>51</v>
      </c>
      <c r="B52" s="2">
        <v>45800</v>
      </c>
      <c r="C52" s="1" t="s">
        <v>33</v>
      </c>
      <c r="D52" s="1" t="s">
        <v>10</v>
      </c>
      <c r="E52" s="1" t="s">
        <v>11</v>
      </c>
      <c r="F52" s="1">
        <v>3</v>
      </c>
      <c r="G52" s="14">
        <v>5931</v>
      </c>
      <c r="H52" s="14">
        <v>4329</v>
      </c>
      <c r="I52" s="14">
        <f t="shared" si="0"/>
        <v>1602</v>
      </c>
      <c r="J52" s="15">
        <f>Table1[[#This Row],[profit]]/Table1[[#This Row],[Revenue]]</f>
        <v>0.27010622154779967</v>
      </c>
      <c r="K52" s="1" t="s">
        <v>18</v>
      </c>
      <c r="L52" s="16">
        <f>MONTH(Table1[[#This Row],[OrderDate]])</f>
        <v>5</v>
      </c>
    </row>
    <row r="53" spans="1:12" x14ac:dyDescent="0.2">
      <c r="A53" s="1">
        <v>52</v>
      </c>
      <c r="B53" s="2">
        <v>45781</v>
      </c>
      <c r="C53" s="1" t="s">
        <v>30</v>
      </c>
      <c r="D53" s="1" t="s">
        <v>28</v>
      </c>
      <c r="E53" s="1" t="s">
        <v>15</v>
      </c>
      <c r="F53" s="1">
        <v>10</v>
      </c>
      <c r="G53" s="14">
        <v>1630</v>
      </c>
      <c r="H53" s="14">
        <v>994</v>
      </c>
      <c r="I53" s="14">
        <f t="shared" si="0"/>
        <v>636</v>
      </c>
      <c r="J53" s="15">
        <f>Table1[[#This Row],[profit]]/Table1[[#This Row],[Revenue]]</f>
        <v>0.39018404907975462</v>
      </c>
      <c r="K53" s="1" t="s">
        <v>18</v>
      </c>
      <c r="L53" s="16">
        <f>MONTH(Table1[[#This Row],[OrderDate]])</f>
        <v>5</v>
      </c>
    </row>
    <row r="54" spans="1:12" x14ac:dyDescent="0.2">
      <c r="A54" s="1">
        <v>53</v>
      </c>
      <c r="B54" s="2">
        <v>45993</v>
      </c>
      <c r="C54" s="1" t="s">
        <v>30</v>
      </c>
      <c r="D54" s="1" t="s">
        <v>37</v>
      </c>
      <c r="E54" s="1" t="s">
        <v>24</v>
      </c>
      <c r="F54" s="1">
        <v>1</v>
      </c>
      <c r="G54" s="14">
        <v>813</v>
      </c>
      <c r="H54" s="14">
        <v>536</v>
      </c>
      <c r="I54" s="14">
        <f t="shared" si="0"/>
        <v>277</v>
      </c>
      <c r="J54" s="15">
        <f>Table1[[#This Row],[profit]]/Table1[[#This Row],[Revenue]]</f>
        <v>0.34071340713407133</v>
      </c>
      <c r="K54" s="1" t="s">
        <v>21</v>
      </c>
      <c r="L54" s="16">
        <f>MONTH(Table1[[#This Row],[OrderDate]])</f>
        <v>12</v>
      </c>
    </row>
    <row r="55" spans="1:12" x14ac:dyDescent="0.2">
      <c r="A55" s="1">
        <v>54</v>
      </c>
      <c r="B55" s="2">
        <v>45822</v>
      </c>
      <c r="C55" s="1" t="s">
        <v>52</v>
      </c>
      <c r="D55" s="1" t="s">
        <v>37</v>
      </c>
      <c r="E55" s="1" t="s">
        <v>24</v>
      </c>
      <c r="F55" s="1">
        <v>2</v>
      </c>
      <c r="G55" s="14">
        <v>2808</v>
      </c>
      <c r="H55" s="14">
        <v>2049</v>
      </c>
      <c r="I55" s="14">
        <f t="shared" si="0"/>
        <v>759</v>
      </c>
      <c r="J55" s="15">
        <f>Table1[[#This Row],[profit]]/Table1[[#This Row],[Revenue]]</f>
        <v>0.27029914529914528</v>
      </c>
      <c r="K55" s="1" t="s">
        <v>12</v>
      </c>
      <c r="L55" s="16">
        <f>MONTH(Table1[[#This Row],[OrderDate]])</f>
        <v>6</v>
      </c>
    </row>
    <row r="56" spans="1:12" x14ac:dyDescent="0.2">
      <c r="A56" s="1">
        <v>55</v>
      </c>
      <c r="B56" s="2">
        <v>45888</v>
      </c>
      <c r="C56" s="1" t="s">
        <v>53</v>
      </c>
      <c r="D56" s="1" t="s">
        <v>37</v>
      </c>
      <c r="E56" s="1" t="s">
        <v>24</v>
      </c>
      <c r="F56" s="1">
        <v>1</v>
      </c>
      <c r="G56" s="14">
        <v>1896</v>
      </c>
      <c r="H56" s="14">
        <v>1156</v>
      </c>
      <c r="I56" s="14">
        <f t="shared" si="0"/>
        <v>740</v>
      </c>
      <c r="J56" s="15">
        <f>Table1[[#This Row],[profit]]/Table1[[#This Row],[Revenue]]</f>
        <v>0.39029535864978904</v>
      </c>
      <c r="K56" s="1" t="s">
        <v>16</v>
      </c>
      <c r="L56" s="16">
        <f>MONTH(Table1[[#This Row],[OrderDate]])</f>
        <v>8</v>
      </c>
    </row>
    <row r="57" spans="1:12" x14ac:dyDescent="0.2">
      <c r="A57" s="1">
        <v>56</v>
      </c>
      <c r="B57" s="2">
        <v>45695</v>
      </c>
      <c r="C57" s="1" t="s">
        <v>48</v>
      </c>
      <c r="D57" s="1" t="s">
        <v>39</v>
      </c>
      <c r="E57" s="1" t="s">
        <v>11</v>
      </c>
      <c r="F57" s="1">
        <v>8</v>
      </c>
      <c r="G57" s="14">
        <v>6392</v>
      </c>
      <c r="H57" s="14">
        <v>3771</v>
      </c>
      <c r="I57" s="14">
        <f t="shared" si="0"/>
        <v>2621</v>
      </c>
      <c r="J57" s="15">
        <f>Table1[[#This Row],[profit]]/Table1[[#This Row],[Revenue]]</f>
        <v>0.41004380475594493</v>
      </c>
      <c r="K57" s="1" t="s">
        <v>18</v>
      </c>
      <c r="L57" s="16">
        <f>MONTH(Table1[[#This Row],[OrderDate]])</f>
        <v>2</v>
      </c>
    </row>
    <row r="58" spans="1:12" x14ac:dyDescent="0.2">
      <c r="A58" s="1">
        <v>57</v>
      </c>
      <c r="B58" s="2">
        <v>45895</v>
      </c>
      <c r="C58" s="1" t="s">
        <v>50</v>
      </c>
      <c r="D58" s="1" t="s">
        <v>32</v>
      </c>
      <c r="E58" s="1" t="s">
        <v>24</v>
      </c>
      <c r="F58" s="1">
        <v>5</v>
      </c>
      <c r="G58" s="14">
        <v>4015</v>
      </c>
      <c r="H58" s="14">
        <v>3332</v>
      </c>
      <c r="I58" s="14">
        <f t="shared" si="0"/>
        <v>683</v>
      </c>
      <c r="J58" s="15">
        <f>Table1[[#This Row],[profit]]/Table1[[#This Row],[Revenue]]</f>
        <v>0.1701120797011208</v>
      </c>
      <c r="K58" s="1" t="s">
        <v>16</v>
      </c>
      <c r="L58" s="16">
        <f>MONTH(Table1[[#This Row],[OrderDate]])</f>
        <v>8</v>
      </c>
    </row>
    <row r="59" spans="1:12" x14ac:dyDescent="0.2">
      <c r="A59" s="1">
        <v>58</v>
      </c>
      <c r="B59" s="2">
        <v>45786</v>
      </c>
      <c r="C59" s="1" t="s">
        <v>26</v>
      </c>
      <c r="D59" s="1" t="s">
        <v>20</v>
      </c>
      <c r="E59" s="1" t="s">
        <v>11</v>
      </c>
      <c r="F59" s="1">
        <v>3</v>
      </c>
      <c r="G59" s="14">
        <v>699</v>
      </c>
      <c r="H59" s="14">
        <v>468</v>
      </c>
      <c r="I59" s="14">
        <f t="shared" si="0"/>
        <v>231</v>
      </c>
      <c r="J59" s="15">
        <f>Table1[[#This Row],[profit]]/Table1[[#This Row],[Revenue]]</f>
        <v>0.33047210300429186</v>
      </c>
      <c r="K59" s="1" t="s">
        <v>12</v>
      </c>
      <c r="L59" s="16">
        <f>MONTH(Table1[[#This Row],[OrderDate]])</f>
        <v>5</v>
      </c>
    </row>
    <row r="60" spans="1:12" x14ac:dyDescent="0.2">
      <c r="A60" s="1">
        <v>59</v>
      </c>
      <c r="B60" s="2">
        <v>45715</v>
      </c>
      <c r="C60" s="1" t="s">
        <v>25</v>
      </c>
      <c r="D60" s="1" t="s">
        <v>32</v>
      </c>
      <c r="E60" s="1" t="s">
        <v>24</v>
      </c>
      <c r="F60" s="1">
        <v>1</v>
      </c>
      <c r="G60" s="14">
        <v>519</v>
      </c>
      <c r="H60" s="14">
        <v>295</v>
      </c>
      <c r="I60" s="14">
        <f t="shared" si="0"/>
        <v>224</v>
      </c>
      <c r="J60" s="15">
        <f>Table1[[#This Row],[profit]]/Table1[[#This Row],[Revenue]]</f>
        <v>0.43159922928709055</v>
      </c>
      <c r="K60" s="1" t="s">
        <v>12</v>
      </c>
      <c r="L60" s="16">
        <f>MONTH(Table1[[#This Row],[OrderDate]])</f>
        <v>2</v>
      </c>
    </row>
    <row r="61" spans="1:12" x14ac:dyDescent="0.2">
      <c r="A61" s="1">
        <v>60</v>
      </c>
      <c r="B61" s="2">
        <v>45874</v>
      </c>
      <c r="C61" s="1" t="s">
        <v>47</v>
      </c>
      <c r="D61" s="1" t="s">
        <v>37</v>
      </c>
      <c r="E61" s="1" t="s">
        <v>24</v>
      </c>
      <c r="F61" s="1">
        <v>7</v>
      </c>
      <c r="G61" s="14">
        <v>9093</v>
      </c>
      <c r="H61" s="14">
        <v>5273</v>
      </c>
      <c r="I61" s="14">
        <f t="shared" si="0"/>
        <v>3820</v>
      </c>
      <c r="J61" s="15">
        <f>Table1[[#This Row],[profit]]/Table1[[#This Row],[Revenue]]</f>
        <v>0.42010337622346861</v>
      </c>
      <c r="K61" s="1" t="s">
        <v>16</v>
      </c>
      <c r="L61" s="16">
        <f>MONTH(Table1[[#This Row],[OrderDate]])</f>
        <v>8</v>
      </c>
    </row>
    <row r="62" spans="1:12" x14ac:dyDescent="0.2">
      <c r="A62" s="1">
        <v>61</v>
      </c>
      <c r="B62" s="2">
        <v>45731</v>
      </c>
      <c r="C62" s="1" t="s">
        <v>34</v>
      </c>
      <c r="D62" s="1" t="s">
        <v>20</v>
      </c>
      <c r="E62" s="1" t="s">
        <v>11</v>
      </c>
      <c r="F62" s="1">
        <v>2</v>
      </c>
      <c r="G62" s="14">
        <v>3684</v>
      </c>
      <c r="H62" s="14">
        <v>2394</v>
      </c>
      <c r="I62" s="14">
        <f t="shared" si="0"/>
        <v>1290</v>
      </c>
      <c r="J62" s="15">
        <f>Table1[[#This Row],[profit]]/Table1[[#This Row],[Revenue]]</f>
        <v>0.35016286644951139</v>
      </c>
      <c r="K62" s="1" t="s">
        <v>21</v>
      </c>
      <c r="L62" s="16">
        <f>MONTH(Table1[[#This Row],[OrderDate]])</f>
        <v>3</v>
      </c>
    </row>
    <row r="63" spans="1:12" x14ac:dyDescent="0.2">
      <c r="A63" s="1">
        <v>62</v>
      </c>
      <c r="B63" s="2">
        <v>45825</v>
      </c>
      <c r="C63" s="1" t="s">
        <v>54</v>
      </c>
      <c r="D63" s="1" t="s">
        <v>10</v>
      </c>
      <c r="E63" s="1" t="s">
        <v>11</v>
      </c>
      <c r="F63" s="1">
        <v>6</v>
      </c>
      <c r="G63" s="14">
        <v>11088</v>
      </c>
      <c r="H63" s="14">
        <v>7539</v>
      </c>
      <c r="I63" s="14">
        <f t="shared" si="0"/>
        <v>3549</v>
      </c>
      <c r="J63" s="15">
        <f>Table1[[#This Row],[profit]]/Table1[[#This Row],[Revenue]]</f>
        <v>0.32007575757575757</v>
      </c>
      <c r="K63" s="1" t="s">
        <v>21</v>
      </c>
      <c r="L63" s="16">
        <f>MONTH(Table1[[#This Row],[OrderDate]])</f>
        <v>6</v>
      </c>
    </row>
    <row r="64" spans="1:12" x14ac:dyDescent="0.2">
      <c r="A64" s="1">
        <v>63</v>
      </c>
      <c r="B64" s="2">
        <v>45951</v>
      </c>
      <c r="C64" s="1" t="s">
        <v>42</v>
      </c>
      <c r="D64" s="1" t="s">
        <v>37</v>
      </c>
      <c r="E64" s="1" t="s">
        <v>24</v>
      </c>
      <c r="F64" s="1">
        <v>8</v>
      </c>
      <c r="G64" s="14">
        <v>1200</v>
      </c>
      <c r="H64" s="14">
        <v>924</v>
      </c>
      <c r="I64" s="14">
        <f t="shared" si="0"/>
        <v>276</v>
      </c>
      <c r="J64" s="15">
        <f>Table1[[#This Row],[profit]]/Table1[[#This Row],[Revenue]]</f>
        <v>0.23</v>
      </c>
      <c r="K64" s="1" t="s">
        <v>12</v>
      </c>
      <c r="L64" s="16">
        <f>MONTH(Table1[[#This Row],[OrderDate]])</f>
        <v>10</v>
      </c>
    </row>
    <row r="65" spans="1:12" x14ac:dyDescent="0.2">
      <c r="A65" s="1">
        <v>64</v>
      </c>
      <c r="B65" s="2">
        <v>45897</v>
      </c>
      <c r="C65" s="1" t="s">
        <v>41</v>
      </c>
      <c r="D65" s="1" t="s">
        <v>23</v>
      </c>
      <c r="E65" s="1" t="s">
        <v>24</v>
      </c>
      <c r="F65" s="1">
        <v>10</v>
      </c>
      <c r="G65" s="14">
        <v>9450</v>
      </c>
      <c r="H65" s="14">
        <v>6048</v>
      </c>
      <c r="I65" s="14">
        <f t="shared" si="0"/>
        <v>3402</v>
      </c>
      <c r="J65" s="15">
        <f>Table1[[#This Row],[profit]]/Table1[[#This Row],[Revenue]]</f>
        <v>0.36</v>
      </c>
      <c r="K65" s="1" t="s">
        <v>18</v>
      </c>
      <c r="L65" s="16">
        <f>MONTH(Table1[[#This Row],[OrderDate]])</f>
        <v>8</v>
      </c>
    </row>
    <row r="66" spans="1:12" x14ac:dyDescent="0.2">
      <c r="A66" s="1">
        <v>65</v>
      </c>
      <c r="B66" s="2">
        <v>45962</v>
      </c>
      <c r="C66" s="1" t="s">
        <v>33</v>
      </c>
      <c r="D66" s="1" t="s">
        <v>37</v>
      </c>
      <c r="E66" s="1" t="s">
        <v>24</v>
      </c>
      <c r="F66" s="1">
        <v>9</v>
      </c>
      <c r="G66" s="14">
        <v>10926</v>
      </c>
      <c r="H66" s="14">
        <v>6009</v>
      </c>
      <c r="I66" s="14">
        <f t="shared" si="0"/>
        <v>4917</v>
      </c>
      <c r="J66" s="15">
        <f>Table1[[#This Row],[profit]]/Table1[[#This Row],[Revenue]]</f>
        <v>0.45002745744096651</v>
      </c>
      <c r="K66" s="1" t="s">
        <v>16</v>
      </c>
      <c r="L66" s="16">
        <f>MONTH(Table1[[#This Row],[OrderDate]])</f>
        <v>11</v>
      </c>
    </row>
    <row r="67" spans="1:12" x14ac:dyDescent="0.2">
      <c r="A67" s="1">
        <v>66</v>
      </c>
      <c r="B67" s="2">
        <v>45660</v>
      </c>
      <c r="C67" s="1" t="s">
        <v>26</v>
      </c>
      <c r="D67" s="1" t="s">
        <v>39</v>
      </c>
      <c r="E67" s="1" t="s">
        <v>11</v>
      </c>
      <c r="F67" s="1">
        <v>10</v>
      </c>
      <c r="G67" s="14">
        <v>14570</v>
      </c>
      <c r="H67" s="14">
        <v>8887</v>
      </c>
      <c r="I67" s="14">
        <f t="shared" ref="I67:I130" si="1">G67-H67</f>
        <v>5683</v>
      </c>
      <c r="J67" s="15">
        <f>Table1[[#This Row],[profit]]/Table1[[#This Row],[Revenue]]</f>
        <v>0.39004804392587511</v>
      </c>
      <c r="K67" s="1" t="s">
        <v>16</v>
      </c>
      <c r="L67" s="16">
        <f>MONTH(Table1[[#This Row],[OrderDate]])</f>
        <v>1</v>
      </c>
    </row>
    <row r="68" spans="1:12" x14ac:dyDescent="0.2">
      <c r="A68" s="1">
        <v>67</v>
      </c>
      <c r="B68" s="2">
        <v>45900</v>
      </c>
      <c r="C68" s="1" t="s">
        <v>38</v>
      </c>
      <c r="D68" s="1" t="s">
        <v>10</v>
      </c>
      <c r="E68" s="1" t="s">
        <v>11</v>
      </c>
      <c r="F68" s="1">
        <v>5</v>
      </c>
      <c r="G68" s="14">
        <v>1945</v>
      </c>
      <c r="H68" s="14">
        <v>1536</v>
      </c>
      <c r="I68" s="14">
        <f t="shared" si="1"/>
        <v>409</v>
      </c>
      <c r="J68" s="15">
        <f>Table1[[#This Row],[profit]]/Table1[[#This Row],[Revenue]]</f>
        <v>0.2102827763496144</v>
      </c>
      <c r="K68" s="1" t="s">
        <v>16</v>
      </c>
      <c r="L68" s="16">
        <f>MONTH(Table1[[#This Row],[OrderDate]])</f>
        <v>8</v>
      </c>
    </row>
    <row r="69" spans="1:12" x14ac:dyDescent="0.2">
      <c r="A69" s="1">
        <v>68</v>
      </c>
      <c r="B69" s="2">
        <v>45716</v>
      </c>
      <c r="C69" s="1" t="s">
        <v>49</v>
      </c>
      <c r="D69" s="1" t="s">
        <v>37</v>
      </c>
      <c r="E69" s="1" t="s">
        <v>24</v>
      </c>
      <c r="F69" s="1">
        <v>7</v>
      </c>
      <c r="G69" s="14">
        <v>8309</v>
      </c>
      <c r="H69" s="14">
        <v>4736</v>
      </c>
      <c r="I69" s="14">
        <f t="shared" si="1"/>
        <v>3573</v>
      </c>
      <c r="J69" s="15">
        <f>Table1[[#This Row],[profit]]/Table1[[#This Row],[Revenue]]</f>
        <v>0.43001564568540135</v>
      </c>
      <c r="K69" s="1" t="s">
        <v>18</v>
      </c>
      <c r="L69" s="16">
        <f>MONTH(Table1[[#This Row],[OrderDate]])</f>
        <v>2</v>
      </c>
    </row>
    <row r="70" spans="1:12" x14ac:dyDescent="0.2">
      <c r="A70" s="1">
        <v>69</v>
      </c>
      <c r="B70" s="2">
        <v>45946</v>
      </c>
      <c r="C70" s="1" t="s">
        <v>9</v>
      </c>
      <c r="D70" s="1" t="s">
        <v>39</v>
      </c>
      <c r="E70" s="1" t="s">
        <v>11</v>
      </c>
      <c r="F70" s="1">
        <v>4</v>
      </c>
      <c r="G70" s="14">
        <v>4516</v>
      </c>
      <c r="H70" s="14">
        <v>3522</v>
      </c>
      <c r="I70" s="14">
        <f t="shared" si="1"/>
        <v>994</v>
      </c>
      <c r="J70" s="15">
        <f>Table1[[#This Row],[profit]]/Table1[[#This Row],[Revenue]]</f>
        <v>0.22010628875110719</v>
      </c>
      <c r="K70" s="1" t="s">
        <v>18</v>
      </c>
      <c r="L70" s="16">
        <f>MONTH(Table1[[#This Row],[OrderDate]])</f>
        <v>10</v>
      </c>
    </row>
    <row r="71" spans="1:12" x14ac:dyDescent="0.2">
      <c r="A71" s="1">
        <v>70</v>
      </c>
      <c r="B71" s="2">
        <v>46017</v>
      </c>
      <c r="C71" s="1" t="s">
        <v>25</v>
      </c>
      <c r="D71" s="1" t="s">
        <v>32</v>
      </c>
      <c r="E71" s="1" t="s">
        <v>24</v>
      </c>
      <c r="F71" s="1">
        <v>4</v>
      </c>
      <c r="G71" s="14">
        <v>584</v>
      </c>
      <c r="H71" s="14">
        <v>490</v>
      </c>
      <c r="I71" s="14">
        <f t="shared" si="1"/>
        <v>94</v>
      </c>
      <c r="J71" s="15">
        <f>Table1[[#This Row],[profit]]/Table1[[#This Row],[Revenue]]</f>
        <v>0.16095890410958905</v>
      </c>
      <c r="K71" s="1" t="s">
        <v>12</v>
      </c>
      <c r="L71" s="16">
        <f>MONTH(Table1[[#This Row],[OrderDate]])</f>
        <v>12</v>
      </c>
    </row>
    <row r="72" spans="1:12" x14ac:dyDescent="0.2">
      <c r="A72" s="1">
        <v>71</v>
      </c>
      <c r="B72" s="2">
        <v>45817</v>
      </c>
      <c r="C72" s="1" t="s">
        <v>52</v>
      </c>
      <c r="D72" s="1" t="s">
        <v>23</v>
      </c>
      <c r="E72" s="1" t="s">
        <v>24</v>
      </c>
      <c r="F72" s="1">
        <v>9</v>
      </c>
      <c r="G72" s="14">
        <v>5121</v>
      </c>
      <c r="H72" s="14">
        <v>2970</v>
      </c>
      <c r="I72" s="14">
        <f t="shared" si="1"/>
        <v>2151</v>
      </c>
      <c r="J72" s="15">
        <f>Table1[[#This Row],[profit]]/Table1[[#This Row],[Revenue]]</f>
        <v>0.42003514938488579</v>
      </c>
      <c r="K72" s="1" t="s">
        <v>18</v>
      </c>
      <c r="L72" s="16">
        <f>MONTH(Table1[[#This Row],[OrderDate]])</f>
        <v>6</v>
      </c>
    </row>
    <row r="73" spans="1:12" x14ac:dyDescent="0.2">
      <c r="A73" s="1">
        <v>72</v>
      </c>
      <c r="B73" s="2">
        <v>45956</v>
      </c>
      <c r="C73" s="1" t="s">
        <v>55</v>
      </c>
      <c r="D73" s="1" t="s">
        <v>39</v>
      </c>
      <c r="E73" s="1" t="s">
        <v>11</v>
      </c>
      <c r="F73" s="1">
        <v>3</v>
      </c>
      <c r="G73" s="14">
        <v>5322</v>
      </c>
      <c r="H73" s="14">
        <v>3193</v>
      </c>
      <c r="I73" s="14">
        <f t="shared" si="1"/>
        <v>2129</v>
      </c>
      <c r="J73" s="15">
        <f>Table1[[#This Row],[profit]]/Table1[[#This Row],[Revenue]]</f>
        <v>0.40003757985719657</v>
      </c>
      <c r="K73" s="1" t="s">
        <v>21</v>
      </c>
      <c r="L73" s="16">
        <f>MONTH(Table1[[#This Row],[OrderDate]])</f>
        <v>10</v>
      </c>
    </row>
    <row r="74" spans="1:12" x14ac:dyDescent="0.2">
      <c r="A74" s="1">
        <v>73</v>
      </c>
      <c r="B74" s="2">
        <v>45886</v>
      </c>
      <c r="C74" s="1" t="s">
        <v>56</v>
      </c>
      <c r="D74" s="1" t="s">
        <v>14</v>
      </c>
      <c r="E74" s="1" t="s">
        <v>15</v>
      </c>
      <c r="F74" s="1">
        <v>2</v>
      </c>
      <c r="G74" s="14">
        <v>2670</v>
      </c>
      <c r="H74" s="14">
        <v>2162</v>
      </c>
      <c r="I74" s="14">
        <f t="shared" si="1"/>
        <v>508</v>
      </c>
      <c r="J74" s="15">
        <f>Table1[[#This Row],[profit]]/Table1[[#This Row],[Revenue]]</f>
        <v>0.1902621722846442</v>
      </c>
      <c r="K74" s="1" t="s">
        <v>21</v>
      </c>
      <c r="L74" s="16">
        <f>MONTH(Table1[[#This Row],[OrderDate]])</f>
        <v>8</v>
      </c>
    </row>
    <row r="75" spans="1:12" x14ac:dyDescent="0.2">
      <c r="A75" s="1">
        <v>74</v>
      </c>
      <c r="B75" s="2">
        <v>45708</v>
      </c>
      <c r="C75" s="1" t="s">
        <v>30</v>
      </c>
      <c r="D75" s="1" t="s">
        <v>23</v>
      </c>
      <c r="E75" s="1" t="s">
        <v>24</v>
      </c>
      <c r="F75" s="1">
        <v>2</v>
      </c>
      <c r="G75" s="14">
        <v>1626</v>
      </c>
      <c r="H75" s="14">
        <v>1105</v>
      </c>
      <c r="I75" s="14">
        <f t="shared" si="1"/>
        <v>521</v>
      </c>
      <c r="J75" s="15">
        <f>Table1[[#This Row],[profit]]/Table1[[#This Row],[Revenue]]</f>
        <v>0.32041820418204181</v>
      </c>
      <c r="K75" s="1" t="s">
        <v>16</v>
      </c>
      <c r="L75" s="16">
        <f>MONTH(Table1[[#This Row],[OrderDate]])</f>
        <v>2</v>
      </c>
    </row>
    <row r="76" spans="1:12" x14ac:dyDescent="0.2">
      <c r="A76" s="1">
        <v>75</v>
      </c>
      <c r="B76" s="2">
        <v>45762</v>
      </c>
      <c r="C76" s="1" t="s">
        <v>33</v>
      </c>
      <c r="D76" s="1" t="s">
        <v>37</v>
      </c>
      <c r="E76" s="1" t="s">
        <v>24</v>
      </c>
      <c r="F76" s="1">
        <v>4</v>
      </c>
      <c r="G76" s="14">
        <v>2228</v>
      </c>
      <c r="H76" s="14">
        <v>1336</v>
      </c>
      <c r="I76" s="14">
        <f t="shared" si="1"/>
        <v>892</v>
      </c>
      <c r="J76" s="15">
        <f>Table1[[#This Row],[profit]]/Table1[[#This Row],[Revenue]]</f>
        <v>0.40035906642728902</v>
      </c>
      <c r="K76" s="1" t="s">
        <v>21</v>
      </c>
      <c r="L76" s="16">
        <f>MONTH(Table1[[#This Row],[OrderDate]])</f>
        <v>4</v>
      </c>
    </row>
    <row r="77" spans="1:12" x14ac:dyDescent="0.2">
      <c r="A77" s="1">
        <v>76</v>
      </c>
      <c r="B77" s="2">
        <v>45758</v>
      </c>
      <c r="C77" s="1" t="s">
        <v>48</v>
      </c>
      <c r="D77" s="1" t="s">
        <v>37</v>
      </c>
      <c r="E77" s="1" t="s">
        <v>24</v>
      </c>
      <c r="F77" s="1">
        <v>8</v>
      </c>
      <c r="G77" s="14">
        <v>13176</v>
      </c>
      <c r="H77" s="14">
        <v>10277</v>
      </c>
      <c r="I77" s="14">
        <f t="shared" si="1"/>
        <v>2899</v>
      </c>
      <c r="J77" s="15">
        <f>Table1[[#This Row],[profit]]/Table1[[#This Row],[Revenue]]</f>
        <v>0.22002125075895568</v>
      </c>
      <c r="K77" s="1" t="s">
        <v>18</v>
      </c>
      <c r="L77" s="16">
        <f>MONTH(Table1[[#This Row],[OrderDate]])</f>
        <v>4</v>
      </c>
    </row>
    <row r="78" spans="1:12" x14ac:dyDescent="0.2">
      <c r="A78" s="1">
        <v>77</v>
      </c>
      <c r="B78" s="2">
        <v>45990</v>
      </c>
      <c r="C78" s="1" t="s">
        <v>56</v>
      </c>
      <c r="D78" s="1" t="s">
        <v>28</v>
      </c>
      <c r="E78" s="1" t="s">
        <v>15</v>
      </c>
      <c r="F78" s="1">
        <v>2</v>
      </c>
      <c r="G78" s="14">
        <v>964</v>
      </c>
      <c r="H78" s="14">
        <v>713</v>
      </c>
      <c r="I78" s="14">
        <f t="shared" si="1"/>
        <v>251</v>
      </c>
      <c r="J78" s="15">
        <f>Table1[[#This Row],[profit]]/Table1[[#This Row],[Revenue]]</f>
        <v>0.26037344398340251</v>
      </c>
      <c r="K78" s="1" t="s">
        <v>21</v>
      </c>
      <c r="L78" s="16">
        <f>MONTH(Table1[[#This Row],[OrderDate]])</f>
        <v>11</v>
      </c>
    </row>
    <row r="79" spans="1:12" x14ac:dyDescent="0.2">
      <c r="A79" s="1">
        <v>78</v>
      </c>
      <c r="B79" s="2">
        <v>45684</v>
      </c>
      <c r="C79" s="1" t="s">
        <v>44</v>
      </c>
      <c r="D79" s="1" t="s">
        <v>39</v>
      </c>
      <c r="E79" s="1" t="s">
        <v>11</v>
      </c>
      <c r="F79" s="1">
        <v>5</v>
      </c>
      <c r="G79" s="14">
        <v>9005</v>
      </c>
      <c r="H79" s="14">
        <v>6213</v>
      </c>
      <c r="I79" s="14">
        <f t="shared" si="1"/>
        <v>2792</v>
      </c>
      <c r="J79" s="15">
        <f>Table1[[#This Row],[profit]]/Table1[[#This Row],[Revenue]]</f>
        <v>0.31004997223764574</v>
      </c>
      <c r="K79" s="1" t="s">
        <v>21</v>
      </c>
      <c r="L79" s="16">
        <f>MONTH(Table1[[#This Row],[OrderDate]])</f>
        <v>1</v>
      </c>
    </row>
    <row r="80" spans="1:12" x14ac:dyDescent="0.2">
      <c r="A80" s="1">
        <v>79</v>
      </c>
      <c r="B80" s="2">
        <v>45988</v>
      </c>
      <c r="C80" s="1" t="s">
        <v>47</v>
      </c>
      <c r="D80" s="1" t="s">
        <v>20</v>
      </c>
      <c r="E80" s="1" t="s">
        <v>11</v>
      </c>
      <c r="F80" s="1">
        <v>7</v>
      </c>
      <c r="G80" s="14">
        <v>7910</v>
      </c>
      <c r="H80" s="14">
        <v>5220</v>
      </c>
      <c r="I80" s="14">
        <f t="shared" si="1"/>
        <v>2690</v>
      </c>
      <c r="J80" s="15">
        <f>Table1[[#This Row],[profit]]/Table1[[#This Row],[Revenue]]</f>
        <v>0.34007585335018964</v>
      </c>
      <c r="K80" s="1" t="s">
        <v>16</v>
      </c>
      <c r="L80" s="16">
        <f>MONTH(Table1[[#This Row],[OrderDate]])</f>
        <v>11</v>
      </c>
    </row>
    <row r="81" spans="1:12" x14ac:dyDescent="0.2">
      <c r="A81" s="1">
        <v>80</v>
      </c>
      <c r="B81" s="2">
        <v>45750</v>
      </c>
      <c r="C81" s="1" t="s">
        <v>17</v>
      </c>
      <c r="D81" s="1" t="s">
        <v>14</v>
      </c>
      <c r="E81" s="1" t="s">
        <v>15</v>
      </c>
      <c r="F81" s="1">
        <v>4</v>
      </c>
      <c r="G81" s="14">
        <v>5716</v>
      </c>
      <c r="H81" s="14">
        <v>3658</v>
      </c>
      <c r="I81" s="14">
        <f t="shared" si="1"/>
        <v>2058</v>
      </c>
      <c r="J81" s="15">
        <f>Table1[[#This Row],[profit]]/Table1[[#This Row],[Revenue]]</f>
        <v>0.36004198740377885</v>
      </c>
      <c r="K81" s="1" t="s">
        <v>12</v>
      </c>
      <c r="L81" s="16">
        <f>MONTH(Table1[[#This Row],[OrderDate]])</f>
        <v>4</v>
      </c>
    </row>
    <row r="82" spans="1:12" x14ac:dyDescent="0.2">
      <c r="A82" s="1">
        <v>81</v>
      </c>
      <c r="B82" s="2">
        <v>45698</v>
      </c>
      <c r="C82" s="1" t="s">
        <v>56</v>
      </c>
      <c r="D82" s="1" t="s">
        <v>28</v>
      </c>
      <c r="E82" s="1" t="s">
        <v>15</v>
      </c>
      <c r="F82" s="1">
        <v>3</v>
      </c>
      <c r="G82" s="14">
        <v>1824</v>
      </c>
      <c r="H82" s="14">
        <v>1222</v>
      </c>
      <c r="I82" s="14">
        <f t="shared" si="1"/>
        <v>602</v>
      </c>
      <c r="J82" s="15">
        <f>Table1[[#This Row],[profit]]/Table1[[#This Row],[Revenue]]</f>
        <v>0.33004385964912281</v>
      </c>
      <c r="K82" s="1" t="s">
        <v>12</v>
      </c>
      <c r="L82" s="16">
        <f>MONTH(Table1[[#This Row],[OrderDate]])</f>
        <v>2</v>
      </c>
    </row>
    <row r="83" spans="1:12" x14ac:dyDescent="0.2">
      <c r="A83" s="1">
        <v>82</v>
      </c>
      <c r="B83" s="2">
        <v>45690</v>
      </c>
      <c r="C83" s="1" t="s">
        <v>57</v>
      </c>
      <c r="D83" s="1" t="s">
        <v>23</v>
      </c>
      <c r="E83" s="1" t="s">
        <v>24</v>
      </c>
      <c r="F83" s="1">
        <v>7</v>
      </c>
      <c r="G83" s="14">
        <v>6258</v>
      </c>
      <c r="H83" s="14">
        <v>5319</v>
      </c>
      <c r="I83" s="14">
        <f t="shared" si="1"/>
        <v>939</v>
      </c>
      <c r="J83" s="15">
        <f>Table1[[#This Row],[profit]]/Table1[[#This Row],[Revenue]]</f>
        <v>0.15004793863854266</v>
      </c>
      <c r="K83" s="1" t="s">
        <v>12</v>
      </c>
      <c r="L83" s="16">
        <f>MONTH(Table1[[#This Row],[OrderDate]])</f>
        <v>2</v>
      </c>
    </row>
    <row r="84" spans="1:12" x14ac:dyDescent="0.2">
      <c r="A84" s="1">
        <v>83</v>
      </c>
      <c r="B84" s="2">
        <v>46016</v>
      </c>
      <c r="C84" s="1" t="s">
        <v>36</v>
      </c>
      <c r="D84" s="1" t="s">
        <v>37</v>
      </c>
      <c r="E84" s="1" t="s">
        <v>24</v>
      </c>
      <c r="F84" s="1">
        <v>6</v>
      </c>
      <c r="G84" s="14">
        <v>1164</v>
      </c>
      <c r="H84" s="14">
        <v>721</v>
      </c>
      <c r="I84" s="14">
        <f t="shared" si="1"/>
        <v>443</v>
      </c>
      <c r="J84" s="15">
        <f>Table1[[#This Row],[profit]]/Table1[[#This Row],[Revenue]]</f>
        <v>0.38058419243986252</v>
      </c>
      <c r="K84" s="1" t="s">
        <v>16</v>
      </c>
      <c r="L84" s="16">
        <f>MONTH(Table1[[#This Row],[OrderDate]])</f>
        <v>12</v>
      </c>
    </row>
    <row r="85" spans="1:12" x14ac:dyDescent="0.2">
      <c r="A85" s="1">
        <v>84</v>
      </c>
      <c r="B85" s="2">
        <v>45763</v>
      </c>
      <c r="C85" s="1" t="s">
        <v>19</v>
      </c>
      <c r="D85" s="1" t="s">
        <v>32</v>
      </c>
      <c r="E85" s="1" t="s">
        <v>24</v>
      </c>
      <c r="F85" s="1">
        <v>4</v>
      </c>
      <c r="G85" s="14">
        <v>2416</v>
      </c>
      <c r="H85" s="14">
        <v>1667</v>
      </c>
      <c r="I85" s="14">
        <f t="shared" si="1"/>
        <v>749</v>
      </c>
      <c r="J85" s="15">
        <f>Table1[[#This Row],[profit]]/Table1[[#This Row],[Revenue]]</f>
        <v>0.31001655629139074</v>
      </c>
      <c r="K85" s="1" t="s">
        <v>21</v>
      </c>
      <c r="L85" s="16">
        <f>MONTH(Table1[[#This Row],[OrderDate]])</f>
        <v>4</v>
      </c>
    </row>
    <row r="86" spans="1:12" x14ac:dyDescent="0.2">
      <c r="A86" s="1">
        <v>85</v>
      </c>
      <c r="B86" s="2">
        <v>45690</v>
      </c>
      <c r="C86" s="1" t="s">
        <v>42</v>
      </c>
      <c r="D86" s="1" t="s">
        <v>39</v>
      </c>
      <c r="E86" s="1" t="s">
        <v>11</v>
      </c>
      <c r="F86" s="1">
        <v>4</v>
      </c>
      <c r="G86" s="14">
        <v>6124</v>
      </c>
      <c r="H86" s="14">
        <v>4286</v>
      </c>
      <c r="I86" s="14">
        <f t="shared" si="1"/>
        <v>1838</v>
      </c>
      <c r="J86" s="15">
        <f>Table1[[#This Row],[profit]]/Table1[[#This Row],[Revenue]]</f>
        <v>0.30013063357282821</v>
      </c>
      <c r="K86" s="1" t="s">
        <v>12</v>
      </c>
      <c r="L86" s="16">
        <f>MONTH(Table1[[#This Row],[OrderDate]])</f>
        <v>2</v>
      </c>
    </row>
    <row r="87" spans="1:12" x14ac:dyDescent="0.2">
      <c r="A87" s="1">
        <v>86</v>
      </c>
      <c r="B87" s="2">
        <v>45939</v>
      </c>
      <c r="C87" s="1" t="s">
        <v>35</v>
      </c>
      <c r="D87" s="1" t="s">
        <v>28</v>
      </c>
      <c r="E87" s="1" t="s">
        <v>15</v>
      </c>
      <c r="F87" s="1">
        <v>8</v>
      </c>
      <c r="G87" s="14">
        <v>8792</v>
      </c>
      <c r="H87" s="14">
        <v>6154</v>
      </c>
      <c r="I87" s="14">
        <f t="shared" si="1"/>
        <v>2638</v>
      </c>
      <c r="J87" s="15">
        <f>Table1[[#This Row],[profit]]/Table1[[#This Row],[Revenue]]</f>
        <v>0.3000454959053685</v>
      </c>
      <c r="K87" s="1" t="s">
        <v>18</v>
      </c>
      <c r="L87" s="16">
        <f>MONTH(Table1[[#This Row],[OrderDate]])</f>
        <v>10</v>
      </c>
    </row>
    <row r="88" spans="1:12" x14ac:dyDescent="0.2">
      <c r="A88" s="1">
        <v>87</v>
      </c>
      <c r="B88" s="2">
        <v>46022</v>
      </c>
      <c r="C88" s="1" t="s">
        <v>19</v>
      </c>
      <c r="D88" s="1" t="s">
        <v>32</v>
      </c>
      <c r="E88" s="1" t="s">
        <v>24</v>
      </c>
      <c r="F88" s="1">
        <v>2</v>
      </c>
      <c r="G88" s="14">
        <v>1392</v>
      </c>
      <c r="H88" s="14">
        <v>1002</v>
      </c>
      <c r="I88" s="14">
        <f t="shared" si="1"/>
        <v>390</v>
      </c>
      <c r="J88" s="15">
        <f>Table1[[#This Row],[profit]]/Table1[[#This Row],[Revenue]]</f>
        <v>0.28017241379310343</v>
      </c>
      <c r="K88" s="1" t="s">
        <v>12</v>
      </c>
      <c r="L88" s="16">
        <f>MONTH(Table1[[#This Row],[OrderDate]])</f>
        <v>12</v>
      </c>
    </row>
    <row r="89" spans="1:12" x14ac:dyDescent="0.2">
      <c r="A89" s="1">
        <v>88</v>
      </c>
      <c r="B89" s="2">
        <v>45934</v>
      </c>
      <c r="C89" s="1" t="s">
        <v>57</v>
      </c>
      <c r="D89" s="1" t="s">
        <v>28</v>
      </c>
      <c r="E89" s="1" t="s">
        <v>15</v>
      </c>
      <c r="F89" s="1">
        <v>3</v>
      </c>
      <c r="G89" s="14">
        <v>4419</v>
      </c>
      <c r="H89" s="14">
        <v>2872</v>
      </c>
      <c r="I89" s="14">
        <f t="shared" si="1"/>
        <v>1547</v>
      </c>
      <c r="J89" s="15">
        <f>Table1[[#This Row],[profit]]/Table1[[#This Row],[Revenue]]</f>
        <v>0.35007920343969223</v>
      </c>
      <c r="K89" s="1" t="s">
        <v>16</v>
      </c>
      <c r="L89" s="16">
        <f>MONTH(Table1[[#This Row],[OrderDate]])</f>
        <v>10</v>
      </c>
    </row>
    <row r="90" spans="1:12" x14ac:dyDescent="0.2">
      <c r="A90" s="1">
        <v>89</v>
      </c>
      <c r="B90" s="2">
        <v>45800</v>
      </c>
      <c r="C90" s="1" t="s">
        <v>43</v>
      </c>
      <c r="D90" s="1" t="s">
        <v>28</v>
      </c>
      <c r="E90" s="1" t="s">
        <v>15</v>
      </c>
      <c r="F90" s="1">
        <v>10</v>
      </c>
      <c r="G90" s="14">
        <v>19240</v>
      </c>
      <c r="H90" s="14">
        <v>13468</v>
      </c>
      <c r="I90" s="14">
        <f t="shared" si="1"/>
        <v>5772</v>
      </c>
      <c r="J90" s="15">
        <f>Table1[[#This Row],[profit]]/Table1[[#This Row],[Revenue]]</f>
        <v>0.3</v>
      </c>
      <c r="K90" s="1" t="s">
        <v>21</v>
      </c>
      <c r="L90" s="16">
        <f>MONTH(Table1[[#This Row],[OrderDate]])</f>
        <v>5</v>
      </c>
    </row>
    <row r="91" spans="1:12" x14ac:dyDescent="0.2">
      <c r="A91" s="1">
        <v>90</v>
      </c>
      <c r="B91" s="2">
        <v>45897</v>
      </c>
      <c r="C91" s="1" t="s">
        <v>57</v>
      </c>
      <c r="D91" s="1" t="s">
        <v>10</v>
      </c>
      <c r="E91" s="1" t="s">
        <v>11</v>
      </c>
      <c r="F91" s="1">
        <v>2</v>
      </c>
      <c r="G91" s="14">
        <v>706</v>
      </c>
      <c r="H91" s="14">
        <v>465</v>
      </c>
      <c r="I91" s="14">
        <f t="shared" si="1"/>
        <v>241</v>
      </c>
      <c r="J91" s="15">
        <f>Table1[[#This Row],[profit]]/Table1[[#This Row],[Revenue]]</f>
        <v>0.34135977337110479</v>
      </c>
      <c r="K91" s="1" t="s">
        <v>21</v>
      </c>
      <c r="L91" s="16">
        <f>MONTH(Table1[[#This Row],[OrderDate]])</f>
        <v>8</v>
      </c>
    </row>
    <row r="92" spans="1:12" x14ac:dyDescent="0.2">
      <c r="A92" s="1">
        <v>91</v>
      </c>
      <c r="B92" s="2">
        <v>45871</v>
      </c>
      <c r="C92" s="1" t="s">
        <v>44</v>
      </c>
      <c r="D92" s="1" t="s">
        <v>10</v>
      </c>
      <c r="E92" s="1" t="s">
        <v>11</v>
      </c>
      <c r="F92" s="1">
        <v>8</v>
      </c>
      <c r="G92" s="14">
        <v>13992</v>
      </c>
      <c r="H92" s="14">
        <v>8675</v>
      </c>
      <c r="I92" s="14">
        <f t="shared" si="1"/>
        <v>5317</v>
      </c>
      <c r="J92" s="15">
        <f>Table1[[#This Row],[profit]]/Table1[[#This Row],[Revenue]]</f>
        <v>0.38000285877644369</v>
      </c>
      <c r="K92" s="1" t="s">
        <v>21</v>
      </c>
      <c r="L92" s="16">
        <f>MONTH(Table1[[#This Row],[OrderDate]])</f>
        <v>8</v>
      </c>
    </row>
    <row r="93" spans="1:12" x14ac:dyDescent="0.2">
      <c r="A93" s="1">
        <v>92</v>
      </c>
      <c r="B93" s="2">
        <v>45730</v>
      </c>
      <c r="C93" s="1" t="s">
        <v>19</v>
      </c>
      <c r="D93" s="1" t="s">
        <v>28</v>
      </c>
      <c r="E93" s="1" t="s">
        <v>15</v>
      </c>
      <c r="F93" s="1">
        <v>8</v>
      </c>
      <c r="G93" s="14">
        <v>10704</v>
      </c>
      <c r="H93" s="14">
        <v>6636</v>
      </c>
      <c r="I93" s="14">
        <f t="shared" si="1"/>
        <v>4068</v>
      </c>
      <c r="J93" s="15">
        <f>Table1[[#This Row],[profit]]/Table1[[#This Row],[Revenue]]</f>
        <v>0.38004484304932734</v>
      </c>
      <c r="K93" s="1" t="s">
        <v>21</v>
      </c>
      <c r="L93" s="16">
        <f>MONTH(Table1[[#This Row],[OrderDate]])</f>
        <v>3</v>
      </c>
    </row>
    <row r="94" spans="1:12" x14ac:dyDescent="0.2">
      <c r="A94" s="1">
        <v>93</v>
      </c>
      <c r="B94" s="2">
        <v>45677</v>
      </c>
      <c r="C94" s="1" t="s">
        <v>19</v>
      </c>
      <c r="D94" s="1" t="s">
        <v>23</v>
      </c>
      <c r="E94" s="1" t="s">
        <v>24</v>
      </c>
      <c r="F94" s="1">
        <v>3</v>
      </c>
      <c r="G94" s="14">
        <v>1050</v>
      </c>
      <c r="H94" s="14">
        <v>661</v>
      </c>
      <c r="I94" s="14">
        <f t="shared" si="1"/>
        <v>389</v>
      </c>
      <c r="J94" s="15">
        <f>Table1[[#This Row],[profit]]/Table1[[#This Row],[Revenue]]</f>
        <v>0.37047619047619046</v>
      </c>
      <c r="K94" s="1" t="s">
        <v>18</v>
      </c>
      <c r="L94" s="16">
        <f>MONTH(Table1[[#This Row],[OrderDate]])</f>
        <v>1</v>
      </c>
    </row>
    <row r="95" spans="1:12" x14ac:dyDescent="0.2">
      <c r="A95" s="1">
        <v>94</v>
      </c>
      <c r="B95" s="2">
        <v>45661</v>
      </c>
      <c r="C95" s="1" t="s">
        <v>34</v>
      </c>
      <c r="D95" s="1" t="s">
        <v>14</v>
      </c>
      <c r="E95" s="1" t="s">
        <v>15</v>
      </c>
      <c r="F95" s="1">
        <v>7</v>
      </c>
      <c r="G95" s="14">
        <v>10374</v>
      </c>
      <c r="H95" s="14">
        <v>6639</v>
      </c>
      <c r="I95" s="14">
        <f t="shared" si="1"/>
        <v>3735</v>
      </c>
      <c r="J95" s="15">
        <f>Table1[[#This Row],[profit]]/Table1[[#This Row],[Revenue]]</f>
        <v>0.3600347021399653</v>
      </c>
      <c r="K95" s="1" t="s">
        <v>18</v>
      </c>
      <c r="L95" s="16">
        <f>MONTH(Table1[[#This Row],[OrderDate]])</f>
        <v>1</v>
      </c>
    </row>
    <row r="96" spans="1:12" x14ac:dyDescent="0.2">
      <c r="A96" s="1">
        <v>95</v>
      </c>
      <c r="B96" s="2">
        <v>45731</v>
      </c>
      <c r="C96" s="1" t="s">
        <v>58</v>
      </c>
      <c r="D96" s="1" t="s">
        <v>20</v>
      </c>
      <c r="E96" s="1" t="s">
        <v>11</v>
      </c>
      <c r="F96" s="1">
        <v>7</v>
      </c>
      <c r="G96" s="14">
        <v>5593</v>
      </c>
      <c r="H96" s="14">
        <v>3076</v>
      </c>
      <c r="I96" s="14">
        <f t="shared" si="1"/>
        <v>2517</v>
      </c>
      <c r="J96" s="15">
        <f>Table1[[#This Row],[profit]]/Table1[[#This Row],[Revenue]]</f>
        <v>0.45002681923833365</v>
      </c>
      <c r="K96" s="1" t="s">
        <v>21</v>
      </c>
      <c r="L96" s="16">
        <f>MONTH(Table1[[#This Row],[OrderDate]])</f>
        <v>3</v>
      </c>
    </row>
    <row r="97" spans="1:12" x14ac:dyDescent="0.2">
      <c r="A97" s="1">
        <v>96</v>
      </c>
      <c r="B97" s="2">
        <v>45983</v>
      </c>
      <c r="C97" s="1" t="s">
        <v>51</v>
      </c>
      <c r="D97" s="1" t="s">
        <v>20</v>
      </c>
      <c r="E97" s="1" t="s">
        <v>11</v>
      </c>
      <c r="F97" s="1">
        <v>1</v>
      </c>
      <c r="G97" s="14">
        <v>350</v>
      </c>
      <c r="H97" s="14">
        <v>273</v>
      </c>
      <c r="I97" s="14">
        <f t="shared" si="1"/>
        <v>77</v>
      </c>
      <c r="J97" s="15">
        <f>Table1[[#This Row],[profit]]/Table1[[#This Row],[Revenue]]</f>
        <v>0.22</v>
      </c>
      <c r="K97" s="1" t="s">
        <v>18</v>
      </c>
      <c r="L97" s="16">
        <f>MONTH(Table1[[#This Row],[OrderDate]])</f>
        <v>11</v>
      </c>
    </row>
    <row r="98" spans="1:12" x14ac:dyDescent="0.2">
      <c r="A98" s="1">
        <v>97</v>
      </c>
      <c r="B98" s="2">
        <v>45691</v>
      </c>
      <c r="C98" s="1" t="s">
        <v>52</v>
      </c>
      <c r="D98" s="1" t="s">
        <v>39</v>
      </c>
      <c r="E98" s="1" t="s">
        <v>11</v>
      </c>
      <c r="F98" s="1">
        <v>10</v>
      </c>
      <c r="G98" s="14">
        <v>15910</v>
      </c>
      <c r="H98" s="14">
        <v>12568</v>
      </c>
      <c r="I98" s="14">
        <f t="shared" si="1"/>
        <v>3342</v>
      </c>
      <c r="J98" s="15">
        <f>Table1[[#This Row],[profit]]/Table1[[#This Row],[Revenue]]</f>
        <v>0.21005656819610308</v>
      </c>
      <c r="K98" s="1" t="s">
        <v>16</v>
      </c>
      <c r="L98" s="16">
        <f>MONTH(Table1[[#This Row],[OrderDate]])</f>
        <v>2</v>
      </c>
    </row>
    <row r="99" spans="1:12" x14ac:dyDescent="0.2">
      <c r="A99" s="1">
        <v>98</v>
      </c>
      <c r="B99" s="2">
        <v>45684</v>
      </c>
      <c r="C99" s="1" t="s">
        <v>57</v>
      </c>
      <c r="D99" s="1" t="s">
        <v>28</v>
      </c>
      <c r="E99" s="1" t="s">
        <v>15</v>
      </c>
      <c r="F99" s="1">
        <v>1</v>
      </c>
      <c r="G99" s="14">
        <v>918</v>
      </c>
      <c r="H99" s="14">
        <v>679</v>
      </c>
      <c r="I99" s="14">
        <f t="shared" si="1"/>
        <v>239</v>
      </c>
      <c r="J99" s="15">
        <f>Table1[[#This Row],[profit]]/Table1[[#This Row],[Revenue]]</f>
        <v>0.26034858387799564</v>
      </c>
      <c r="K99" s="1" t="s">
        <v>12</v>
      </c>
      <c r="L99" s="16">
        <f>MONTH(Table1[[#This Row],[OrderDate]])</f>
        <v>1</v>
      </c>
    </row>
    <row r="100" spans="1:12" x14ac:dyDescent="0.2">
      <c r="A100" s="1">
        <v>99</v>
      </c>
      <c r="B100" s="2">
        <v>45815</v>
      </c>
      <c r="C100" s="1" t="s">
        <v>59</v>
      </c>
      <c r="D100" s="1" t="s">
        <v>28</v>
      </c>
      <c r="E100" s="1" t="s">
        <v>15</v>
      </c>
      <c r="F100" s="1">
        <v>1</v>
      </c>
      <c r="G100" s="14">
        <v>1186</v>
      </c>
      <c r="H100" s="14">
        <v>948</v>
      </c>
      <c r="I100" s="14">
        <f t="shared" si="1"/>
        <v>238</v>
      </c>
      <c r="J100" s="15">
        <f>Table1[[#This Row],[profit]]/Table1[[#This Row],[Revenue]]</f>
        <v>0.20067453625632378</v>
      </c>
      <c r="K100" s="1" t="s">
        <v>16</v>
      </c>
      <c r="L100" s="16">
        <f>MONTH(Table1[[#This Row],[OrderDate]])</f>
        <v>6</v>
      </c>
    </row>
    <row r="101" spans="1:12" x14ac:dyDescent="0.2">
      <c r="A101" s="1">
        <v>100</v>
      </c>
      <c r="B101" s="2">
        <v>45768</v>
      </c>
      <c r="C101" s="1" t="s">
        <v>33</v>
      </c>
      <c r="D101" s="1" t="s">
        <v>10</v>
      </c>
      <c r="E101" s="1" t="s">
        <v>11</v>
      </c>
      <c r="F101" s="1">
        <v>3</v>
      </c>
      <c r="G101" s="14">
        <v>4590</v>
      </c>
      <c r="H101" s="14">
        <v>3396</v>
      </c>
      <c r="I101" s="14">
        <f t="shared" si="1"/>
        <v>1194</v>
      </c>
      <c r="J101" s="15">
        <f>Table1[[#This Row],[profit]]/Table1[[#This Row],[Revenue]]</f>
        <v>0.26013071895424839</v>
      </c>
      <c r="K101" s="1" t="s">
        <v>21</v>
      </c>
      <c r="L101" s="16">
        <f>MONTH(Table1[[#This Row],[OrderDate]])</f>
        <v>4</v>
      </c>
    </row>
    <row r="102" spans="1:12" x14ac:dyDescent="0.2">
      <c r="A102" s="1">
        <v>101</v>
      </c>
      <c r="B102" s="2">
        <v>45912</v>
      </c>
      <c r="C102" s="1" t="s">
        <v>22</v>
      </c>
      <c r="D102" s="1" t="s">
        <v>37</v>
      </c>
      <c r="E102" s="1" t="s">
        <v>24</v>
      </c>
      <c r="F102" s="1">
        <v>7</v>
      </c>
      <c r="G102" s="14">
        <v>1911</v>
      </c>
      <c r="H102" s="14">
        <v>1471</v>
      </c>
      <c r="I102" s="14">
        <f t="shared" si="1"/>
        <v>440</v>
      </c>
      <c r="J102" s="15">
        <f>Table1[[#This Row],[profit]]/Table1[[#This Row],[Revenue]]</f>
        <v>0.23024594453165881</v>
      </c>
      <c r="K102" s="1" t="s">
        <v>16</v>
      </c>
      <c r="L102" s="16">
        <f>MONTH(Table1[[#This Row],[OrderDate]])</f>
        <v>9</v>
      </c>
    </row>
    <row r="103" spans="1:12" x14ac:dyDescent="0.2">
      <c r="A103" s="1">
        <v>102</v>
      </c>
      <c r="B103" s="2">
        <v>45734</v>
      </c>
      <c r="C103" s="1" t="s">
        <v>13</v>
      </c>
      <c r="D103" s="1" t="s">
        <v>20</v>
      </c>
      <c r="E103" s="1" t="s">
        <v>11</v>
      </c>
      <c r="F103" s="1">
        <v>10</v>
      </c>
      <c r="G103" s="14">
        <v>2400</v>
      </c>
      <c r="H103" s="14">
        <v>1416</v>
      </c>
      <c r="I103" s="14">
        <f t="shared" si="1"/>
        <v>984</v>
      </c>
      <c r="J103" s="15">
        <f>Table1[[#This Row],[profit]]/Table1[[#This Row],[Revenue]]</f>
        <v>0.41</v>
      </c>
      <c r="K103" s="1" t="s">
        <v>12</v>
      </c>
      <c r="L103" s="16">
        <f>MONTH(Table1[[#This Row],[OrderDate]])</f>
        <v>3</v>
      </c>
    </row>
    <row r="104" spans="1:12" x14ac:dyDescent="0.2">
      <c r="A104" s="1">
        <v>103</v>
      </c>
      <c r="B104" s="2">
        <v>45884</v>
      </c>
      <c r="C104" s="1" t="s">
        <v>38</v>
      </c>
      <c r="D104" s="1" t="s">
        <v>37</v>
      </c>
      <c r="E104" s="1" t="s">
        <v>24</v>
      </c>
      <c r="F104" s="1">
        <v>4</v>
      </c>
      <c r="G104" s="14">
        <v>7468</v>
      </c>
      <c r="H104" s="14">
        <v>6347</v>
      </c>
      <c r="I104" s="14">
        <f t="shared" si="1"/>
        <v>1121</v>
      </c>
      <c r="J104" s="15">
        <f>Table1[[#This Row],[profit]]/Table1[[#This Row],[Revenue]]</f>
        <v>0.15010712372790574</v>
      </c>
      <c r="K104" s="1" t="s">
        <v>21</v>
      </c>
      <c r="L104" s="16">
        <f>MONTH(Table1[[#This Row],[OrderDate]])</f>
        <v>8</v>
      </c>
    </row>
    <row r="105" spans="1:12" x14ac:dyDescent="0.2">
      <c r="A105" s="1">
        <v>104</v>
      </c>
      <c r="B105" s="2">
        <v>45850</v>
      </c>
      <c r="C105" s="1" t="s">
        <v>60</v>
      </c>
      <c r="D105" s="1" t="s">
        <v>37</v>
      </c>
      <c r="E105" s="1" t="s">
        <v>24</v>
      </c>
      <c r="F105" s="1">
        <v>10</v>
      </c>
      <c r="G105" s="14">
        <v>17790</v>
      </c>
      <c r="H105" s="14">
        <v>10851</v>
      </c>
      <c r="I105" s="14">
        <f t="shared" si="1"/>
        <v>6939</v>
      </c>
      <c r="J105" s="15">
        <f>Table1[[#This Row],[profit]]/Table1[[#This Row],[Revenue]]</f>
        <v>0.39005059021922428</v>
      </c>
      <c r="K105" s="1" t="s">
        <v>16</v>
      </c>
      <c r="L105" s="16">
        <f>MONTH(Table1[[#This Row],[OrderDate]])</f>
        <v>7</v>
      </c>
    </row>
    <row r="106" spans="1:12" x14ac:dyDescent="0.2">
      <c r="A106" s="1">
        <v>105</v>
      </c>
      <c r="B106" s="2">
        <v>46010</v>
      </c>
      <c r="C106" s="1" t="s">
        <v>29</v>
      </c>
      <c r="D106" s="1" t="s">
        <v>23</v>
      </c>
      <c r="E106" s="1" t="s">
        <v>24</v>
      </c>
      <c r="F106" s="1">
        <v>3</v>
      </c>
      <c r="G106" s="14">
        <v>1338</v>
      </c>
      <c r="H106" s="14">
        <v>976</v>
      </c>
      <c r="I106" s="14">
        <f t="shared" si="1"/>
        <v>362</v>
      </c>
      <c r="J106" s="15">
        <f>Table1[[#This Row],[profit]]/Table1[[#This Row],[Revenue]]</f>
        <v>0.27055306427503739</v>
      </c>
      <c r="K106" s="1" t="s">
        <v>21</v>
      </c>
      <c r="L106" s="16">
        <f>MONTH(Table1[[#This Row],[OrderDate]])</f>
        <v>12</v>
      </c>
    </row>
    <row r="107" spans="1:12" x14ac:dyDescent="0.2">
      <c r="A107" s="1">
        <v>106</v>
      </c>
      <c r="B107" s="2">
        <v>45864</v>
      </c>
      <c r="C107" s="1" t="s">
        <v>19</v>
      </c>
      <c r="D107" s="1" t="s">
        <v>28</v>
      </c>
      <c r="E107" s="1" t="s">
        <v>15</v>
      </c>
      <c r="F107" s="1">
        <v>10</v>
      </c>
      <c r="G107" s="14">
        <v>15740</v>
      </c>
      <c r="H107" s="14">
        <v>10860</v>
      </c>
      <c r="I107" s="14">
        <f t="shared" si="1"/>
        <v>4880</v>
      </c>
      <c r="J107" s="15">
        <f>Table1[[#This Row],[profit]]/Table1[[#This Row],[Revenue]]</f>
        <v>0.31003811944091486</v>
      </c>
      <c r="K107" s="1" t="s">
        <v>21</v>
      </c>
      <c r="L107" s="16">
        <f>MONTH(Table1[[#This Row],[OrderDate]])</f>
        <v>7</v>
      </c>
    </row>
    <row r="108" spans="1:12" x14ac:dyDescent="0.2">
      <c r="A108" s="1">
        <v>107</v>
      </c>
      <c r="B108" s="2">
        <v>46006</v>
      </c>
      <c r="C108" s="1" t="s">
        <v>43</v>
      </c>
      <c r="D108" s="1" t="s">
        <v>39</v>
      </c>
      <c r="E108" s="1" t="s">
        <v>11</v>
      </c>
      <c r="F108" s="1">
        <v>6</v>
      </c>
      <c r="G108" s="14">
        <v>8706</v>
      </c>
      <c r="H108" s="14">
        <v>6355</v>
      </c>
      <c r="I108" s="14">
        <f t="shared" si="1"/>
        <v>2351</v>
      </c>
      <c r="J108" s="15">
        <f>Table1[[#This Row],[profit]]/Table1[[#This Row],[Revenue]]</f>
        <v>0.27004364805881004</v>
      </c>
      <c r="K108" s="1" t="s">
        <v>12</v>
      </c>
      <c r="L108" s="16">
        <f>MONTH(Table1[[#This Row],[OrderDate]])</f>
        <v>12</v>
      </c>
    </row>
    <row r="109" spans="1:12" x14ac:dyDescent="0.2">
      <c r="A109" s="1">
        <v>108</v>
      </c>
      <c r="B109" s="2">
        <v>45829</v>
      </c>
      <c r="C109" s="1" t="s">
        <v>51</v>
      </c>
      <c r="D109" s="1" t="s">
        <v>14</v>
      </c>
      <c r="E109" s="1" t="s">
        <v>15</v>
      </c>
      <c r="F109" s="1">
        <v>6</v>
      </c>
      <c r="G109" s="14">
        <v>4506</v>
      </c>
      <c r="H109" s="14">
        <v>3649</v>
      </c>
      <c r="I109" s="14">
        <f t="shared" si="1"/>
        <v>857</v>
      </c>
      <c r="J109" s="15">
        <f>Table1[[#This Row],[profit]]/Table1[[#This Row],[Revenue]]</f>
        <v>0.19019085663559698</v>
      </c>
      <c r="K109" s="1" t="s">
        <v>12</v>
      </c>
      <c r="L109" s="16">
        <f>MONTH(Table1[[#This Row],[OrderDate]])</f>
        <v>6</v>
      </c>
    </row>
    <row r="110" spans="1:12" x14ac:dyDescent="0.2">
      <c r="A110" s="1">
        <v>109</v>
      </c>
      <c r="B110" s="2">
        <v>46020</v>
      </c>
      <c r="C110" s="1" t="s">
        <v>19</v>
      </c>
      <c r="D110" s="1" t="s">
        <v>37</v>
      </c>
      <c r="E110" s="1" t="s">
        <v>24</v>
      </c>
      <c r="F110" s="1">
        <v>6</v>
      </c>
      <c r="G110" s="14">
        <v>8448</v>
      </c>
      <c r="H110" s="14">
        <v>5491</v>
      </c>
      <c r="I110" s="14">
        <f t="shared" si="1"/>
        <v>2957</v>
      </c>
      <c r="J110" s="15">
        <f>Table1[[#This Row],[profit]]/Table1[[#This Row],[Revenue]]</f>
        <v>0.35002367424242425</v>
      </c>
      <c r="K110" s="1" t="s">
        <v>21</v>
      </c>
      <c r="L110" s="16">
        <f>MONTH(Table1[[#This Row],[OrderDate]])</f>
        <v>12</v>
      </c>
    </row>
    <row r="111" spans="1:12" x14ac:dyDescent="0.2">
      <c r="A111" s="1">
        <v>110</v>
      </c>
      <c r="B111" s="2">
        <v>45931</v>
      </c>
      <c r="C111" s="1" t="s">
        <v>50</v>
      </c>
      <c r="D111" s="1" t="s">
        <v>20</v>
      </c>
      <c r="E111" s="1" t="s">
        <v>11</v>
      </c>
      <c r="F111" s="1">
        <v>8</v>
      </c>
      <c r="G111" s="14">
        <v>15056</v>
      </c>
      <c r="H111" s="14">
        <v>10990</v>
      </c>
      <c r="I111" s="14">
        <f t="shared" si="1"/>
        <v>4066</v>
      </c>
      <c r="J111" s="15">
        <f>Table1[[#This Row],[profit]]/Table1[[#This Row],[Revenue]]</f>
        <v>0.27005844845908605</v>
      </c>
      <c r="K111" s="1" t="s">
        <v>12</v>
      </c>
      <c r="L111" s="16">
        <f>MONTH(Table1[[#This Row],[OrderDate]])</f>
        <v>10</v>
      </c>
    </row>
    <row r="112" spans="1:12" x14ac:dyDescent="0.2">
      <c r="A112" s="1">
        <v>111</v>
      </c>
      <c r="B112" s="2">
        <v>45848</v>
      </c>
      <c r="C112" s="1" t="s">
        <v>54</v>
      </c>
      <c r="D112" s="1" t="s">
        <v>37</v>
      </c>
      <c r="E112" s="1" t="s">
        <v>24</v>
      </c>
      <c r="F112" s="1">
        <v>10</v>
      </c>
      <c r="G112" s="14">
        <v>3610</v>
      </c>
      <c r="H112" s="14">
        <v>2129</v>
      </c>
      <c r="I112" s="14">
        <f t="shared" si="1"/>
        <v>1481</v>
      </c>
      <c r="J112" s="15">
        <f>Table1[[#This Row],[profit]]/Table1[[#This Row],[Revenue]]</f>
        <v>0.41024930747922439</v>
      </c>
      <c r="K112" s="1" t="s">
        <v>18</v>
      </c>
      <c r="L112" s="16">
        <f>MONTH(Table1[[#This Row],[OrderDate]])</f>
        <v>7</v>
      </c>
    </row>
    <row r="113" spans="1:12" x14ac:dyDescent="0.2">
      <c r="A113" s="1">
        <v>112</v>
      </c>
      <c r="B113" s="2">
        <v>45741</v>
      </c>
      <c r="C113" s="1" t="s">
        <v>53</v>
      </c>
      <c r="D113" s="1" t="s">
        <v>20</v>
      </c>
      <c r="E113" s="1" t="s">
        <v>11</v>
      </c>
      <c r="F113" s="1">
        <v>9</v>
      </c>
      <c r="G113" s="14">
        <v>9522</v>
      </c>
      <c r="H113" s="14">
        <v>5998</v>
      </c>
      <c r="I113" s="14">
        <f t="shared" si="1"/>
        <v>3524</v>
      </c>
      <c r="J113" s="15">
        <f>Table1[[#This Row],[profit]]/Table1[[#This Row],[Revenue]]</f>
        <v>0.37009031716026047</v>
      </c>
      <c r="K113" s="1" t="s">
        <v>18</v>
      </c>
      <c r="L113" s="16">
        <f>MONTH(Table1[[#This Row],[OrderDate]])</f>
        <v>3</v>
      </c>
    </row>
    <row r="114" spans="1:12" x14ac:dyDescent="0.2">
      <c r="A114" s="1">
        <v>113</v>
      </c>
      <c r="B114" s="2">
        <v>45985</v>
      </c>
      <c r="C114" s="1" t="s">
        <v>19</v>
      </c>
      <c r="D114" s="1" t="s">
        <v>14</v>
      </c>
      <c r="E114" s="1" t="s">
        <v>15</v>
      </c>
      <c r="F114" s="1">
        <v>4</v>
      </c>
      <c r="G114" s="14">
        <v>1948</v>
      </c>
      <c r="H114" s="14">
        <v>1422</v>
      </c>
      <c r="I114" s="14">
        <f t="shared" si="1"/>
        <v>526</v>
      </c>
      <c r="J114" s="15">
        <f>Table1[[#This Row],[profit]]/Table1[[#This Row],[Revenue]]</f>
        <v>0.27002053388090347</v>
      </c>
      <c r="K114" s="1" t="s">
        <v>16</v>
      </c>
      <c r="L114" s="16">
        <f>MONTH(Table1[[#This Row],[OrderDate]])</f>
        <v>11</v>
      </c>
    </row>
    <row r="115" spans="1:12" x14ac:dyDescent="0.2">
      <c r="A115" s="1">
        <v>114</v>
      </c>
      <c r="B115" s="2">
        <v>45950</v>
      </c>
      <c r="C115" s="1" t="s">
        <v>13</v>
      </c>
      <c r="D115" s="1" t="s">
        <v>37</v>
      </c>
      <c r="E115" s="1" t="s">
        <v>24</v>
      </c>
      <c r="F115" s="1">
        <v>1</v>
      </c>
      <c r="G115" s="14">
        <v>532</v>
      </c>
      <c r="H115" s="14">
        <v>420</v>
      </c>
      <c r="I115" s="14">
        <f t="shared" si="1"/>
        <v>112</v>
      </c>
      <c r="J115" s="15">
        <f>Table1[[#This Row],[profit]]/Table1[[#This Row],[Revenue]]</f>
        <v>0.21052631578947367</v>
      </c>
      <c r="K115" s="1" t="s">
        <v>12</v>
      </c>
      <c r="L115" s="16">
        <f>MONTH(Table1[[#This Row],[OrderDate]])</f>
        <v>10</v>
      </c>
    </row>
    <row r="116" spans="1:12" x14ac:dyDescent="0.2">
      <c r="A116" s="1">
        <v>115</v>
      </c>
      <c r="B116" s="2">
        <v>45828</v>
      </c>
      <c r="C116" s="1" t="s">
        <v>52</v>
      </c>
      <c r="D116" s="1" t="s">
        <v>14</v>
      </c>
      <c r="E116" s="1" t="s">
        <v>15</v>
      </c>
      <c r="F116" s="1">
        <v>6</v>
      </c>
      <c r="G116" s="14">
        <v>8640</v>
      </c>
      <c r="H116" s="14">
        <v>6998</v>
      </c>
      <c r="I116" s="14">
        <f t="shared" si="1"/>
        <v>1642</v>
      </c>
      <c r="J116" s="15">
        <f>Table1[[#This Row],[profit]]/Table1[[#This Row],[Revenue]]</f>
        <v>0.1900462962962963</v>
      </c>
      <c r="K116" s="1" t="s">
        <v>16</v>
      </c>
      <c r="L116" s="16">
        <f>MONTH(Table1[[#This Row],[OrderDate]])</f>
        <v>6</v>
      </c>
    </row>
    <row r="117" spans="1:12" x14ac:dyDescent="0.2">
      <c r="A117" s="1">
        <v>116</v>
      </c>
      <c r="B117" s="2">
        <v>45658</v>
      </c>
      <c r="C117" s="1" t="s">
        <v>13</v>
      </c>
      <c r="D117" s="1" t="s">
        <v>37</v>
      </c>
      <c r="E117" s="1" t="s">
        <v>24</v>
      </c>
      <c r="F117" s="1">
        <v>9</v>
      </c>
      <c r="G117" s="14">
        <v>8028</v>
      </c>
      <c r="H117" s="14">
        <v>6663</v>
      </c>
      <c r="I117" s="14">
        <f t="shared" si="1"/>
        <v>1365</v>
      </c>
      <c r="J117" s="15">
        <f>Table1[[#This Row],[profit]]/Table1[[#This Row],[Revenue]]</f>
        <v>0.17002989536621824</v>
      </c>
      <c r="K117" s="1" t="s">
        <v>18</v>
      </c>
      <c r="L117" s="16">
        <f>MONTH(Table1[[#This Row],[OrderDate]])</f>
        <v>1</v>
      </c>
    </row>
    <row r="118" spans="1:12" x14ac:dyDescent="0.2">
      <c r="A118" s="1">
        <v>117</v>
      </c>
      <c r="B118" s="2">
        <v>45803</v>
      </c>
      <c r="C118" s="1" t="s">
        <v>54</v>
      </c>
      <c r="D118" s="1" t="s">
        <v>37</v>
      </c>
      <c r="E118" s="1" t="s">
        <v>24</v>
      </c>
      <c r="F118" s="1">
        <v>1</v>
      </c>
      <c r="G118" s="14">
        <v>408</v>
      </c>
      <c r="H118" s="14">
        <v>338</v>
      </c>
      <c r="I118" s="14">
        <f t="shared" si="1"/>
        <v>70</v>
      </c>
      <c r="J118" s="15">
        <f>Table1[[#This Row],[profit]]/Table1[[#This Row],[Revenue]]</f>
        <v>0.17156862745098039</v>
      </c>
      <c r="K118" s="1" t="s">
        <v>16</v>
      </c>
      <c r="L118" s="16">
        <f>MONTH(Table1[[#This Row],[OrderDate]])</f>
        <v>5</v>
      </c>
    </row>
    <row r="119" spans="1:12" x14ac:dyDescent="0.2">
      <c r="A119" s="1">
        <v>118</v>
      </c>
      <c r="B119" s="2">
        <v>45764</v>
      </c>
      <c r="C119" s="1" t="s">
        <v>56</v>
      </c>
      <c r="D119" s="1" t="s">
        <v>37</v>
      </c>
      <c r="E119" s="1" t="s">
        <v>24</v>
      </c>
      <c r="F119" s="1">
        <v>2</v>
      </c>
      <c r="G119" s="14">
        <v>492</v>
      </c>
      <c r="H119" s="14">
        <v>369</v>
      </c>
      <c r="I119" s="14">
        <f t="shared" si="1"/>
        <v>123</v>
      </c>
      <c r="J119" s="15">
        <f>Table1[[#This Row],[profit]]/Table1[[#This Row],[Revenue]]</f>
        <v>0.25</v>
      </c>
      <c r="K119" s="1" t="s">
        <v>16</v>
      </c>
      <c r="L119" s="16">
        <f>MONTH(Table1[[#This Row],[OrderDate]])</f>
        <v>4</v>
      </c>
    </row>
    <row r="120" spans="1:12" x14ac:dyDescent="0.2">
      <c r="A120" s="1">
        <v>119</v>
      </c>
      <c r="B120" s="2">
        <v>45858</v>
      </c>
      <c r="C120" s="1" t="s">
        <v>27</v>
      </c>
      <c r="D120" s="1" t="s">
        <v>20</v>
      </c>
      <c r="E120" s="1" t="s">
        <v>11</v>
      </c>
      <c r="F120" s="1">
        <v>3</v>
      </c>
      <c r="G120" s="14">
        <v>5091</v>
      </c>
      <c r="H120" s="14">
        <v>4123</v>
      </c>
      <c r="I120" s="14">
        <f t="shared" si="1"/>
        <v>968</v>
      </c>
      <c r="J120" s="15">
        <f>Table1[[#This Row],[profit]]/Table1[[#This Row],[Revenue]]</f>
        <v>0.19013946179532509</v>
      </c>
      <c r="K120" s="1" t="s">
        <v>18</v>
      </c>
      <c r="L120" s="16">
        <f>MONTH(Table1[[#This Row],[OrderDate]])</f>
        <v>7</v>
      </c>
    </row>
    <row r="121" spans="1:12" x14ac:dyDescent="0.2">
      <c r="A121" s="1">
        <v>120</v>
      </c>
      <c r="B121" s="2">
        <v>46006</v>
      </c>
      <c r="C121" s="1" t="s">
        <v>38</v>
      </c>
      <c r="D121" s="1" t="s">
        <v>39</v>
      </c>
      <c r="E121" s="1" t="s">
        <v>11</v>
      </c>
      <c r="F121" s="1">
        <v>8</v>
      </c>
      <c r="G121" s="14">
        <v>13144</v>
      </c>
      <c r="H121" s="14">
        <v>11172</v>
      </c>
      <c r="I121" s="14">
        <f t="shared" si="1"/>
        <v>1972</v>
      </c>
      <c r="J121" s="15">
        <f>Table1[[#This Row],[profit]]/Table1[[#This Row],[Revenue]]</f>
        <v>0.15003043213633596</v>
      </c>
      <c r="K121" s="1" t="s">
        <v>16</v>
      </c>
      <c r="L121" s="16">
        <f>MONTH(Table1[[#This Row],[OrderDate]])</f>
        <v>12</v>
      </c>
    </row>
    <row r="122" spans="1:12" x14ac:dyDescent="0.2">
      <c r="A122" s="1">
        <v>121</v>
      </c>
      <c r="B122" s="2">
        <v>45962</v>
      </c>
      <c r="C122" s="1" t="s">
        <v>61</v>
      </c>
      <c r="D122" s="1" t="s">
        <v>20</v>
      </c>
      <c r="E122" s="1" t="s">
        <v>11</v>
      </c>
      <c r="F122" s="1">
        <v>4</v>
      </c>
      <c r="G122" s="14">
        <v>3560</v>
      </c>
      <c r="H122" s="14">
        <v>2741</v>
      </c>
      <c r="I122" s="14">
        <f t="shared" si="1"/>
        <v>819</v>
      </c>
      <c r="J122" s="15">
        <f>Table1[[#This Row],[profit]]/Table1[[#This Row],[Revenue]]</f>
        <v>0.23005617977528089</v>
      </c>
      <c r="K122" s="1" t="s">
        <v>16</v>
      </c>
      <c r="L122" s="16">
        <f>MONTH(Table1[[#This Row],[OrderDate]])</f>
        <v>11</v>
      </c>
    </row>
    <row r="123" spans="1:12" x14ac:dyDescent="0.2">
      <c r="A123" s="1">
        <v>122</v>
      </c>
      <c r="B123" s="2">
        <v>45922</v>
      </c>
      <c r="C123" s="1" t="s">
        <v>53</v>
      </c>
      <c r="D123" s="1" t="s">
        <v>28</v>
      </c>
      <c r="E123" s="1" t="s">
        <v>15</v>
      </c>
      <c r="F123" s="1">
        <v>4</v>
      </c>
      <c r="G123" s="14">
        <v>4956</v>
      </c>
      <c r="H123" s="14">
        <v>3221</v>
      </c>
      <c r="I123" s="14">
        <f t="shared" si="1"/>
        <v>1735</v>
      </c>
      <c r="J123" s="15">
        <f>Table1[[#This Row],[profit]]/Table1[[#This Row],[Revenue]]</f>
        <v>0.35008071025020177</v>
      </c>
      <c r="K123" s="1" t="s">
        <v>12</v>
      </c>
      <c r="L123" s="16">
        <f>MONTH(Table1[[#This Row],[OrderDate]])</f>
        <v>9</v>
      </c>
    </row>
    <row r="124" spans="1:12" x14ac:dyDescent="0.2">
      <c r="A124" s="1">
        <v>123</v>
      </c>
      <c r="B124" s="2">
        <v>45851</v>
      </c>
      <c r="C124" s="1" t="s">
        <v>54</v>
      </c>
      <c r="D124" s="1" t="s">
        <v>39</v>
      </c>
      <c r="E124" s="1" t="s">
        <v>11</v>
      </c>
      <c r="F124" s="1">
        <v>4</v>
      </c>
      <c r="G124" s="14">
        <v>1652</v>
      </c>
      <c r="H124" s="14">
        <v>1024</v>
      </c>
      <c r="I124" s="14">
        <f t="shared" si="1"/>
        <v>628</v>
      </c>
      <c r="J124" s="15">
        <f>Table1[[#This Row],[profit]]/Table1[[#This Row],[Revenue]]</f>
        <v>0.38014527845036322</v>
      </c>
      <c r="K124" s="1" t="s">
        <v>21</v>
      </c>
      <c r="L124" s="16">
        <f>MONTH(Table1[[#This Row],[OrderDate]])</f>
        <v>7</v>
      </c>
    </row>
    <row r="125" spans="1:12" x14ac:dyDescent="0.2">
      <c r="A125" s="1">
        <v>124</v>
      </c>
      <c r="B125" s="2">
        <v>45959</v>
      </c>
      <c r="C125" s="1" t="s">
        <v>55</v>
      </c>
      <c r="D125" s="1" t="s">
        <v>32</v>
      </c>
      <c r="E125" s="1" t="s">
        <v>24</v>
      </c>
      <c r="F125" s="1">
        <v>8</v>
      </c>
      <c r="G125" s="14">
        <v>6168</v>
      </c>
      <c r="H125" s="14">
        <v>4255</v>
      </c>
      <c r="I125" s="14">
        <f t="shared" si="1"/>
        <v>1913</v>
      </c>
      <c r="J125" s="15">
        <f>Table1[[#This Row],[profit]]/Table1[[#This Row],[Revenue]]</f>
        <v>0.31014915693904022</v>
      </c>
      <c r="K125" s="1" t="s">
        <v>12</v>
      </c>
      <c r="L125" s="16">
        <f>MONTH(Table1[[#This Row],[OrderDate]])</f>
        <v>10</v>
      </c>
    </row>
    <row r="126" spans="1:12" x14ac:dyDescent="0.2">
      <c r="A126" s="1">
        <v>125</v>
      </c>
      <c r="B126" s="2">
        <v>45772</v>
      </c>
      <c r="C126" s="1" t="s">
        <v>62</v>
      </c>
      <c r="D126" s="1" t="s">
        <v>28</v>
      </c>
      <c r="E126" s="1" t="s">
        <v>15</v>
      </c>
      <c r="F126" s="1">
        <v>2</v>
      </c>
      <c r="G126" s="14">
        <v>2966</v>
      </c>
      <c r="H126" s="14">
        <v>1838</v>
      </c>
      <c r="I126" s="14">
        <f t="shared" si="1"/>
        <v>1128</v>
      </c>
      <c r="J126" s="15">
        <f>Table1[[#This Row],[profit]]/Table1[[#This Row],[Revenue]]</f>
        <v>0.38031018206338502</v>
      </c>
      <c r="K126" s="1" t="s">
        <v>16</v>
      </c>
      <c r="L126" s="16">
        <f>MONTH(Table1[[#This Row],[OrderDate]])</f>
        <v>4</v>
      </c>
    </row>
    <row r="127" spans="1:12" x14ac:dyDescent="0.2">
      <c r="A127" s="1">
        <v>126</v>
      </c>
      <c r="B127" s="2">
        <v>45927</v>
      </c>
      <c r="C127" s="1" t="s">
        <v>36</v>
      </c>
      <c r="D127" s="1" t="s">
        <v>23</v>
      </c>
      <c r="E127" s="1" t="s">
        <v>24</v>
      </c>
      <c r="F127" s="1">
        <v>3</v>
      </c>
      <c r="G127" s="14">
        <v>2019</v>
      </c>
      <c r="H127" s="14">
        <v>1271</v>
      </c>
      <c r="I127" s="14">
        <f t="shared" si="1"/>
        <v>748</v>
      </c>
      <c r="J127" s="15">
        <f>Table1[[#This Row],[profit]]/Table1[[#This Row],[Revenue]]</f>
        <v>0.37048043585933632</v>
      </c>
      <c r="K127" s="1" t="s">
        <v>21</v>
      </c>
      <c r="L127" s="16">
        <f>MONTH(Table1[[#This Row],[OrderDate]])</f>
        <v>9</v>
      </c>
    </row>
    <row r="128" spans="1:12" x14ac:dyDescent="0.2">
      <c r="A128" s="1">
        <v>127</v>
      </c>
      <c r="B128" s="2">
        <v>45723</v>
      </c>
      <c r="C128" s="1" t="s">
        <v>63</v>
      </c>
      <c r="D128" s="1" t="s">
        <v>14</v>
      </c>
      <c r="E128" s="1" t="s">
        <v>15</v>
      </c>
      <c r="F128" s="1">
        <v>10</v>
      </c>
      <c r="G128" s="14">
        <v>12890</v>
      </c>
      <c r="H128" s="14">
        <v>9667</v>
      </c>
      <c r="I128" s="14">
        <f t="shared" si="1"/>
        <v>3223</v>
      </c>
      <c r="J128" s="15">
        <f>Table1[[#This Row],[profit]]/Table1[[#This Row],[Revenue]]</f>
        <v>0.2500387897595035</v>
      </c>
      <c r="K128" s="1" t="s">
        <v>16</v>
      </c>
      <c r="L128" s="16">
        <f>MONTH(Table1[[#This Row],[OrderDate]])</f>
        <v>3</v>
      </c>
    </row>
    <row r="129" spans="1:12" x14ac:dyDescent="0.2">
      <c r="A129" s="1">
        <v>128</v>
      </c>
      <c r="B129" s="2">
        <v>45765</v>
      </c>
      <c r="C129" s="1" t="s">
        <v>40</v>
      </c>
      <c r="D129" s="1" t="s">
        <v>39</v>
      </c>
      <c r="E129" s="1" t="s">
        <v>11</v>
      </c>
      <c r="F129" s="1">
        <v>9</v>
      </c>
      <c r="G129" s="14">
        <v>1629</v>
      </c>
      <c r="H129" s="14">
        <v>1238</v>
      </c>
      <c r="I129" s="14">
        <f t="shared" si="1"/>
        <v>391</v>
      </c>
      <c r="J129" s="15">
        <f>Table1[[#This Row],[profit]]/Table1[[#This Row],[Revenue]]</f>
        <v>0.24002455494168201</v>
      </c>
      <c r="K129" s="1" t="s">
        <v>12</v>
      </c>
      <c r="L129" s="16">
        <f>MONTH(Table1[[#This Row],[OrderDate]])</f>
        <v>4</v>
      </c>
    </row>
    <row r="130" spans="1:12" x14ac:dyDescent="0.2">
      <c r="A130" s="1">
        <v>129</v>
      </c>
      <c r="B130" s="2">
        <v>45968</v>
      </c>
      <c r="C130" s="1" t="s">
        <v>31</v>
      </c>
      <c r="D130" s="1" t="s">
        <v>28</v>
      </c>
      <c r="E130" s="1" t="s">
        <v>15</v>
      </c>
      <c r="F130" s="1">
        <v>8</v>
      </c>
      <c r="G130" s="14">
        <v>14040</v>
      </c>
      <c r="H130" s="14">
        <v>8985</v>
      </c>
      <c r="I130" s="14">
        <f t="shared" si="1"/>
        <v>5055</v>
      </c>
      <c r="J130" s="15">
        <f>Table1[[#This Row],[profit]]/Table1[[#This Row],[Revenue]]</f>
        <v>0.36004273504273504</v>
      </c>
      <c r="K130" s="1" t="s">
        <v>16</v>
      </c>
      <c r="L130" s="16">
        <f>MONTH(Table1[[#This Row],[OrderDate]])</f>
        <v>11</v>
      </c>
    </row>
    <row r="131" spans="1:12" x14ac:dyDescent="0.2">
      <c r="A131" s="1">
        <v>130</v>
      </c>
      <c r="B131" s="2">
        <v>45834</v>
      </c>
      <c r="C131" s="1" t="s">
        <v>27</v>
      </c>
      <c r="D131" s="1" t="s">
        <v>20</v>
      </c>
      <c r="E131" s="1" t="s">
        <v>11</v>
      </c>
      <c r="F131" s="1">
        <v>7</v>
      </c>
      <c r="G131" s="14">
        <v>6160</v>
      </c>
      <c r="H131" s="14">
        <v>3942</v>
      </c>
      <c r="I131" s="14">
        <f t="shared" ref="I131:I194" si="2">G131-H131</f>
        <v>2218</v>
      </c>
      <c r="J131" s="15">
        <f>Table1[[#This Row],[profit]]/Table1[[#This Row],[Revenue]]</f>
        <v>0.36006493506493509</v>
      </c>
      <c r="K131" s="1" t="s">
        <v>12</v>
      </c>
      <c r="L131" s="16">
        <f>MONTH(Table1[[#This Row],[OrderDate]])</f>
        <v>6</v>
      </c>
    </row>
    <row r="132" spans="1:12" x14ac:dyDescent="0.2">
      <c r="A132" s="1">
        <v>131</v>
      </c>
      <c r="B132" s="2">
        <v>45850</v>
      </c>
      <c r="C132" s="1" t="s">
        <v>56</v>
      </c>
      <c r="D132" s="1" t="s">
        <v>32</v>
      </c>
      <c r="E132" s="1" t="s">
        <v>24</v>
      </c>
      <c r="F132" s="1">
        <v>2</v>
      </c>
      <c r="G132" s="14">
        <v>3652</v>
      </c>
      <c r="H132" s="14">
        <v>2227</v>
      </c>
      <c r="I132" s="14">
        <f t="shared" si="2"/>
        <v>1425</v>
      </c>
      <c r="J132" s="15">
        <f>Table1[[#This Row],[profit]]/Table1[[#This Row],[Revenue]]</f>
        <v>0.39019715224534501</v>
      </c>
      <c r="K132" s="1" t="s">
        <v>18</v>
      </c>
      <c r="L132" s="16">
        <f>MONTH(Table1[[#This Row],[OrderDate]])</f>
        <v>7</v>
      </c>
    </row>
    <row r="133" spans="1:12" x14ac:dyDescent="0.2">
      <c r="A133" s="1">
        <v>132</v>
      </c>
      <c r="B133" s="2">
        <v>45846</v>
      </c>
      <c r="C133" s="1" t="s">
        <v>22</v>
      </c>
      <c r="D133" s="1" t="s">
        <v>39</v>
      </c>
      <c r="E133" s="1" t="s">
        <v>11</v>
      </c>
      <c r="F133" s="1">
        <v>8</v>
      </c>
      <c r="G133" s="14">
        <v>2168</v>
      </c>
      <c r="H133" s="14">
        <v>1192</v>
      </c>
      <c r="I133" s="14">
        <f t="shared" si="2"/>
        <v>976</v>
      </c>
      <c r="J133" s="15">
        <f>Table1[[#This Row],[profit]]/Table1[[#This Row],[Revenue]]</f>
        <v>0.45018450184501846</v>
      </c>
      <c r="K133" s="1" t="s">
        <v>18</v>
      </c>
      <c r="L133" s="16">
        <f>MONTH(Table1[[#This Row],[OrderDate]])</f>
        <v>7</v>
      </c>
    </row>
    <row r="134" spans="1:12" x14ac:dyDescent="0.2">
      <c r="A134" s="1">
        <v>133</v>
      </c>
      <c r="B134" s="2">
        <v>45790</v>
      </c>
      <c r="C134" s="1" t="s">
        <v>45</v>
      </c>
      <c r="D134" s="1" t="s">
        <v>39</v>
      </c>
      <c r="E134" s="1" t="s">
        <v>11</v>
      </c>
      <c r="F134" s="1">
        <v>3</v>
      </c>
      <c r="G134" s="14">
        <v>1926</v>
      </c>
      <c r="H134" s="14">
        <v>1174</v>
      </c>
      <c r="I134" s="14">
        <f t="shared" si="2"/>
        <v>752</v>
      </c>
      <c r="J134" s="15">
        <f>Table1[[#This Row],[profit]]/Table1[[#This Row],[Revenue]]</f>
        <v>0.39044652128764279</v>
      </c>
      <c r="K134" s="1" t="s">
        <v>21</v>
      </c>
      <c r="L134" s="16">
        <f>MONTH(Table1[[#This Row],[OrderDate]])</f>
        <v>5</v>
      </c>
    </row>
    <row r="135" spans="1:12" x14ac:dyDescent="0.2">
      <c r="A135" s="1">
        <v>134</v>
      </c>
      <c r="B135" s="2">
        <v>45839</v>
      </c>
      <c r="C135" s="1" t="s">
        <v>51</v>
      </c>
      <c r="D135" s="1" t="s">
        <v>28</v>
      </c>
      <c r="E135" s="1" t="s">
        <v>15</v>
      </c>
      <c r="F135" s="1">
        <v>7</v>
      </c>
      <c r="G135" s="14">
        <v>13930</v>
      </c>
      <c r="H135" s="14">
        <v>7800</v>
      </c>
      <c r="I135" s="14">
        <f t="shared" si="2"/>
        <v>6130</v>
      </c>
      <c r="J135" s="15">
        <f>Table1[[#This Row],[profit]]/Table1[[#This Row],[Revenue]]</f>
        <v>0.44005743000717873</v>
      </c>
      <c r="K135" s="1" t="s">
        <v>16</v>
      </c>
      <c r="L135" s="16">
        <f>MONTH(Table1[[#This Row],[OrderDate]])</f>
        <v>7</v>
      </c>
    </row>
    <row r="136" spans="1:12" x14ac:dyDescent="0.2">
      <c r="A136" s="1">
        <v>135</v>
      </c>
      <c r="B136" s="2">
        <v>45759</v>
      </c>
      <c r="C136" s="1" t="s">
        <v>44</v>
      </c>
      <c r="D136" s="1" t="s">
        <v>23</v>
      </c>
      <c r="E136" s="1" t="s">
        <v>24</v>
      </c>
      <c r="F136" s="1">
        <v>1</v>
      </c>
      <c r="G136" s="14">
        <v>725</v>
      </c>
      <c r="H136" s="14">
        <v>398</v>
      </c>
      <c r="I136" s="14">
        <f t="shared" si="2"/>
        <v>327</v>
      </c>
      <c r="J136" s="15">
        <f>Table1[[#This Row],[profit]]/Table1[[#This Row],[Revenue]]</f>
        <v>0.45103448275862068</v>
      </c>
      <c r="K136" s="1" t="s">
        <v>12</v>
      </c>
      <c r="L136" s="16">
        <f>MONTH(Table1[[#This Row],[OrderDate]])</f>
        <v>4</v>
      </c>
    </row>
    <row r="137" spans="1:12" x14ac:dyDescent="0.2">
      <c r="A137" s="1">
        <v>136</v>
      </c>
      <c r="B137" s="2">
        <v>45717</v>
      </c>
      <c r="C137" s="1" t="s">
        <v>59</v>
      </c>
      <c r="D137" s="1" t="s">
        <v>10</v>
      </c>
      <c r="E137" s="1" t="s">
        <v>11</v>
      </c>
      <c r="F137" s="1">
        <v>10</v>
      </c>
      <c r="G137" s="14">
        <v>6000</v>
      </c>
      <c r="H137" s="14">
        <v>4560</v>
      </c>
      <c r="I137" s="14">
        <f t="shared" si="2"/>
        <v>1440</v>
      </c>
      <c r="J137" s="15">
        <f>Table1[[#This Row],[profit]]/Table1[[#This Row],[Revenue]]</f>
        <v>0.24</v>
      </c>
      <c r="K137" s="1" t="s">
        <v>16</v>
      </c>
      <c r="L137" s="16">
        <f>MONTH(Table1[[#This Row],[OrderDate]])</f>
        <v>3</v>
      </c>
    </row>
    <row r="138" spans="1:12" x14ac:dyDescent="0.2">
      <c r="A138" s="1">
        <v>137</v>
      </c>
      <c r="B138" s="2">
        <v>45969</v>
      </c>
      <c r="C138" s="1" t="s">
        <v>43</v>
      </c>
      <c r="D138" s="1" t="s">
        <v>32</v>
      </c>
      <c r="E138" s="1" t="s">
        <v>24</v>
      </c>
      <c r="F138" s="1">
        <v>1</v>
      </c>
      <c r="G138" s="14">
        <v>1376</v>
      </c>
      <c r="H138" s="14">
        <v>908</v>
      </c>
      <c r="I138" s="14">
        <f t="shared" si="2"/>
        <v>468</v>
      </c>
      <c r="J138" s="15">
        <f>Table1[[#This Row],[profit]]/Table1[[#This Row],[Revenue]]</f>
        <v>0.34011627906976744</v>
      </c>
      <c r="K138" s="1" t="s">
        <v>16</v>
      </c>
      <c r="L138" s="16">
        <f>MONTH(Table1[[#This Row],[OrderDate]])</f>
        <v>11</v>
      </c>
    </row>
    <row r="139" spans="1:12" x14ac:dyDescent="0.2">
      <c r="A139" s="1">
        <v>138</v>
      </c>
      <c r="B139" s="2">
        <v>45930</v>
      </c>
      <c r="C139" s="1" t="s">
        <v>56</v>
      </c>
      <c r="D139" s="1" t="s">
        <v>32</v>
      </c>
      <c r="E139" s="1" t="s">
        <v>24</v>
      </c>
      <c r="F139" s="1">
        <v>8</v>
      </c>
      <c r="G139" s="14">
        <v>11008</v>
      </c>
      <c r="H139" s="14">
        <v>8916</v>
      </c>
      <c r="I139" s="14">
        <f t="shared" si="2"/>
        <v>2092</v>
      </c>
      <c r="J139" s="15">
        <f>Table1[[#This Row],[profit]]/Table1[[#This Row],[Revenue]]</f>
        <v>0.1900436046511628</v>
      </c>
      <c r="K139" s="1" t="s">
        <v>18</v>
      </c>
      <c r="L139" s="16">
        <f>MONTH(Table1[[#This Row],[OrderDate]])</f>
        <v>9</v>
      </c>
    </row>
    <row r="140" spans="1:12" x14ac:dyDescent="0.2">
      <c r="A140" s="1">
        <v>139</v>
      </c>
      <c r="B140" s="2">
        <v>45997</v>
      </c>
      <c r="C140" s="1" t="s">
        <v>50</v>
      </c>
      <c r="D140" s="1" t="s">
        <v>32</v>
      </c>
      <c r="E140" s="1" t="s">
        <v>24</v>
      </c>
      <c r="F140" s="1">
        <v>1</v>
      </c>
      <c r="G140" s="14">
        <v>1968</v>
      </c>
      <c r="H140" s="14">
        <v>1298</v>
      </c>
      <c r="I140" s="14">
        <f t="shared" si="2"/>
        <v>670</v>
      </c>
      <c r="J140" s="15">
        <f>Table1[[#This Row],[profit]]/Table1[[#This Row],[Revenue]]</f>
        <v>0.34044715447154472</v>
      </c>
      <c r="K140" s="1" t="s">
        <v>16</v>
      </c>
      <c r="L140" s="16">
        <f>MONTH(Table1[[#This Row],[OrderDate]])</f>
        <v>12</v>
      </c>
    </row>
    <row r="141" spans="1:12" x14ac:dyDescent="0.2">
      <c r="A141" s="1">
        <v>140</v>
      </c>
      <c r="B141" s="2">
        <v>45853</v>
      </c>
      <c r="C141" s="1" t="s">
        <v>56</v>
      </c>
      <c r="D141" s="1" t="s">
        <v>14</v>
      </c>
      <c r="E141" s="1" t="s">
        <v>15</v>
      </c>
      <c r="F141" s="1">
        <v>7</v>
      </c>
      <c r="G141" s="14">
        <v>805</v>
      </c>
      <c r="H141" s="14">
        <v>450</v>
      </c>
      <c r="I141" s="14">
        <f t="shared" si="2"/>
        <v>355</v>
      </c>
      <c r="J141" s="15">
        <f>Table1[[#This Row],[profit]]/Table1[[#This Row],[Revenue]]</f>
        <v>0.44099378881987578</v>
      </c>
      <c r="K141" s="1" t="s">
        <v>18</v>
      </c>
      <c r="L141" s="16">
        <f>MONTH(Table1[[#This Row],[OrderDate]])</f>
        <v>7</v>
      </c>
    </row>
    <row r="142" spans="1:12" x14ac:dyDescent="0.2">
      <c r="A142" s="1">
        <v>141</v>
      </c>
      <c r="B142" s="2">
        <v>45968</v>
      </c>
      <c r="C142" s="1" t="s">
        <v>29</v>
      </c>
      <c r="D142" s="1" t="s">
        <v>14</v>
      </c>
      <c r="E142" s="1" t="s">
        <v>15</v>
      </c>
      <c r="F142" s="1">
        <v>7</v>
      </c>
      <c r="G142" s="14">
        <v>2205</v>
      </c>
      <c r="H142" s="14">
        <v>1234</v>
      </c>
      <c r="I142" s="14">
        <f t="shared" si="2"/>
        <v>971</v>
      </c>
      <c r="J142" s="15">
        <f>Table1[[#This Row],[profit]]/Table1[[#This Row],[Revenue]]</f>
        <v>0.4403628117913832</v>
      </c>
      <c r="K142" s="1" t="s">
        <v>21</v>
      </c>
      <c r="L142" s="16">
        <f>MONTH(Table1[[#This Row],[OrderDate]])</f>
        <v>11</v>
      </c>
    </row>
    <row r="143" spans="1:12" x14ac:dyDescent="0.2">
      <c r="A143" s="1">
        <v>142</v>
      </c>
      <c r="B143" s="2">
        <v>45712</v>
      </c>
      <c r="C143" s="1" t="s">
        <v>38</v>
      </c>
      <c r="D143" s="1" t="s">
        <v>28</v>
      </c>
      <c r="E143" s="1" t="s">
        <v>15</v>
      </c>
      <c r="F143" s="1">
        <v>9</v>
      </c>
      <c r="G143" s="14">
        <v>9576</v>
      </c>
      <c r="H143" s="14">
        <v>6511</v>
      </c>
      <c r="I143" s="14">
        <f t="shared" si="2"/>
        <v>3065</v>
      </c>
      <c r="J143" s="15">
        <f>Table1[[#This Row],[profit]]/Table1[[#This Row],[Revenue]]</f>
        <v>0.32007101086048456</v>
      </c>
      <c r="K143" s="1" t="s">
        <v>18</v>
      </c>
      <c r="L143" s="16">
        <f>MONTH(Table1[[#This Row],[OrderDate]])</f>
        <v>2</v>
      </c>
    </row>
    <row r="144" spans="1:12" x14ac:dyDescent="0.2">
      <c r="A144" s="1">
        <v>143</v>
      </c>
      <c r="B144" s="2">
        <v>45896</v>
      </c>
      <c r="C144" s="1" t="s">
        <v>53</v>
      </c>
      <c r="D144" s="1" t="s">
        <v>14</v>
      </c>
      <c r="E144" s="1" t="s">
        <v>15</v>
      </c>
      <c r="F144" s="1">
        <v>5</v>
      </c>
      <c r="G144" s="14">
        <v>1540</v>
      </c>
      <c r="H144" s="14">
        <v>908</v>
      </c>
      <c r="I144" s="14">
        <f t="shared" si="2"/>
        <v>632</v>
      </c>
      <c r="J144" s="15">
        <f>Table1[[#This Row],[profit]]/Table1[[#This Row],[Revenue]]</f>
        <v>0.41038961038961042</v>
      </c>
      <c r="K144" s="1" t="s">
        <v>12</v>
      </c>
      <c r="L144" s="16">
        <f>MONTH(Table1[[#This Row],[OrderDate]])</f>
        <v>8</v>
      </c>
    </row>
    <row r="145" spans="1:12" x14ac:dyDescent="0.2">
      <c r="A145" s="1">
        <v>144</v>
      </c>
      <c r="B145" s="2">
        <v>45978</v>
      </c>
      <c r="C145" s="1" t="s">
        <v>19</v>
      </c>
      <c r="D145" s="1" t="s">
        <v>28</v>
      </c>
      <c r="E145" s="1" t="s">
        <v>15</v>
      </c>
      <c r="F145" s="1">
        <v>10</v>
      </c>
      <c r="G145" s="14">
        <v>7110</v>
      </c>
      <c r="H145" s="14">
        <v>4052</v>
      </c>
      <c r="I145" s="14">
        <f t="shared" si="2"/>
        <v>3058</v>
      </c>
      <c r="J145" s="15">
        <f>Table1[[#This Row],[profit]]/Table1[[#This Row],[Revenue]]</f>
        <v>0.43009845288326298</v>
      </c>
      <c r="K145" s="1" t="s">
        <v>18</v>
      </c>
      <c r="L145" s="16">
        <f>MONTH(Table1[[#This Row],[OrderDate]])</f>
        <v>11</v>
      </c>
    </row>
    <row r="146" spans="1:12" x14ac:dyDescent="0.2">
      <c r="A146" s="1">
        <v>145</v>
      </c>
      <c r="B146" s="2">
        <v>45704</v>
      </c>
      <c r="C146" s="1" t="s">
        <v>63</v>
      </c>
      <c r="D146" s="1" t="s">
        <v>39</v>
      </c>
      <c r="E146" s="1" t="s">
        <v>11</v>
      </c>
      <c r="F146" s="1">
        <v>10</v>
      </c>
      <c r="G146" s="14">
        <v>12560</v>
      </c>
      <c r="H146" s="14">
        <v>7536</v>
      </c>
      <c r="I146" s="14">
        <f t="shared" si="2"/>
        <v>5024</v>
      </c>
      <c r="J146" s="15">
        <f>Table1[[#This Row],[profit]]/Table1[[#This Row],[Revenue]]</f>
        <v>0.4</v>
      </c>
      <c r="K146" s="1" t="s">
        <v>21</v>
      </c>
      <c r="L146" s="16">
        <f>MONTH(Table1[[#This Row],[OrderDate]])</f>
        <v>2</v>
      </c>
    </row>
    <row r="147" spans="1:12" x14ac:dyDescent="0.2">
      <c r="A147" s="1">
        <v>146</v>
      </c>
      <c r="B147" s="2">
        <v>45688</v>
      </c>
      <c r="C147" s="1" t="s">
        <v>40</v>
      </c>
      <c r="D147" s="1" t="s">
        <v>14</v>
      </c>
      <c r="E147" s="1" t="s">
        <v>15</v>
      </c>
      <c r="F147" s="1">
        <v>5</v>
      </c>
      <c r="G147" s="14">
        <v>7920</v>
      </c>
      <c r="H147" s="14">
        <v>6652</v>
      </c>
      <c r="I147" s="14">
        <f t="shared" si="2"/>
        <v>1268</v>
      </c>
      <c r="J147" s="15">
        <f>Table1[[#This Row],[profit]]/Table1[[#This Row],[Revenue]]</f>
        <v>0.1601010101010101</v>
      </c>
      <c r="K147" s="1" t="s">
        <v>12</v>
      </c>
      <c r="L147" s="16">
        <f>MONTH(Table1[[#This Row],[OrderDate]])</f>
        <v>1</v>
      </c>
    </row>
    <row r="148" spans="1:12" x14ac:dyDescent="0.2">
      <c r="A148" s="1">
        <v>147</v>
      </c>
      <c r="B148" s="2">
        <v>46002</v>
      </c>
      <c r="C148" s="1" t="s">
        <v>60</v>
      </c>
      <c r="D148" s="1" t="s">
        <v>14</v>
      </c>
      <c r="E148" s="1" t="s">
        <v>15</v>
      </c>
      <c r="F148" s="1">
        <v>3</v>
      </c>
      <c r="G148" s="14">
        <v>4749</v>
      </c>
      <c r="H148" s="14">
        <v>3419</v>
      </c>
      <c r="I148" s="14">
        <f t="shared" si="2"/>
        <v>1330</v>
      </c>
      <c r="J148" s="15">
        <f>Table1[[#This Row],[profit]]/Table1[[#This Row],[Revenue]]</f>
        <v>0.28005895978100653</v>
      </c>
      <c r="K148" s="1" t="s">
        <v>18</v>
      </c>
      <c r="L148" s="16">
        <f>MONTH(Table1[[#This Row],[OrderDate]])</f>
        <v>12</v>
      </c>
    </row>
    <row r="149" spans="1:12" x14ac:dyDescent="0.2">
      <c r="A149" s="1">
        <v>148</v>
      </c>
      <c r="B149" s="2">
        <v>45948</v>
      </c>
      <c r="C149" s="1" t="s">
        <v>19</v>
      </c>
      <c r="D149" s="1" t="s">
        <v>23</v>
      </c>
      <c r="E149" s="1" t="s">
        <v>24</v>
      </c>
      <c r="F149" s="1">
        <v>1</v>
      </c>
      <c r="G149" s="14">
        <v>669</v>
      </c>
      <c r="H149" s="14">
        <v>508</v>
      </c>
      <c r="I149" s="14">
        <f t="shared" si="2"/>
        <v>161</v>
      </c>
      <c r="J149" s="15">
        <f>Table1[[#This Row],[profit]]/Table1[[#This Row],[Revenue]]</f>
        <v>0.24065769805680121</v>
      </c>
      <c r="K149" s="1" t="s">
        <v>18</v>
      </c>
      <c r="L149" s="16">
        <f>MONTH(Table1[[#This Row],[OrderDate]])</f>
        <v>10</v>
      </c>
    </row>
    <row r="150" spans="1:12" x14ac:dyDescent="0.2">
      <c r="A150" s="1">
        <v>149</v>
      </c>
      <c r="B150" s="2">
        <v>45823</v>
      </c>
      <c r="C150" s="1" t="s">
        <v>27</v>
      </c>
      <c r="D150" s="1" t="s">
        <v>39</v>
      </c>
      <c r="E150" s="1" t="s">
        <v>11</v>
      </c>
      <c r="F150" s="1">
        <v>9</v>
      </c>
      <c r="G150" s="14">
        <v>4806</v>
      </c>
      <c r="H150" s="14">
        <v>2787</v>
      </c>
      <c r="I150" s="14">
        <f t="shared" si="2"/>
        <v>2019</v>
      </c>
      <c r="J150" s="15">
        <f>Table1[[#This Row],[profit]]/Table1[[#This Row],[Revenue]]</f>
        <v>0.42009987515605496</v>
      </c>
      <c r="K150" s="1" t="s">
        <v>12</v>
      </c>
      <c r="L150" s="16">
        <f>MONTH(Table1[[#This Row],[OrderDate]])</f>
        <v>6</v>
      </c>
    </row>
    <row r="151" spans="1:12" x14ac:dyDescent="0.2">
      <c r="A151" s="1">
        <v>150</v>
      </c>
      <c r="B151" s="2">
        <v>45748</v>
      </c>
      <c r="C151" s="1" t="s">
        <v>52</v>
      </c>
      <c r="D151" s="1" t="s">
        <v>37</v>
      </c>
      <c r="E151" s="1" t="s">
        <v>24</v>
      </c>
      <c r="F151" s="1">
        <v>1</v>
      </c>
      <c r="G151" s="14">
        <v>897</v>
      </c>
      <c r="H151" s="14">
        <v>511</v>
      </c>
      <c r="I151" s="14">
        <f t="shared" si="2"/>
        <v>386</v>
      </c>
      <c r="J151" s="15">
        <f>Table1[[#This Row],[profit]]/Table1[[#This Row],[Revenue]]</f>
        <v>0.43032329988851725</v>
      </c>
      <c r="K151" s="1" t="s">
        <v>18</v>
      </c>
      <c r="L151" s="16">
        <f>MONTH(Table1[[#This Row],[OrderDate]])</f>
        <v>4</v>
      </c>
    </row>
    <row r="152" spans="1:12" x14ac:dyDescent="0.2">
      <c r="A152" s="1">
        <v>151</v>
      </c>
      <c r="B152" s="2">
        <v>45864</v>
      </c>
      <c r="C152" s="1" t="s">
        <v>58</v>
      </c>
      <c r="D152" s="1" t="s">
        <v>14</v>
      </c>
      <c r="E152" s="1" t="s">
        <v>15</v>
      </c>
      <c r="F152" s="1">
        <v>8</v>
      </c>
      <c r="G152" s="14">
        <v>2224</v>
      </c>
      <c r="H152" s="14">
        <v>1734</v>
      </c>
      <c r="I152" s="14">
        <f t="shared" si="2"/>
        <v>490</v>
      </c>
      <c r="J152" s="15">
        <f>Table1[[#This Row],[profit]]/Table1[[#This Row],[Revenue]]</f>
        <v>0.22032374100719423</v>
      </c>
      <c r="K152" s="1" t="s">
        <v>12</v>
      </c>
      <c r="L152" s="16">
        <f>MONTH(Table1[[#This Row],[OrderDate]])</f>
        <v>7</v>
      </c>
    </row>
    <row r="153" spans="1:12" x14ac:dyDescent="0.2">
      <c r="A153" s="1">
        <v>152</v>
      </c>
      <c r="B153" s="2">
        <v>45911</v>
      </c>
      <c r="C153" s="1" t="s">
        <v>27</v>
      </c>
      <c r="D153" s="1" t="s">
        <v>20</v>
      </c>
      <c r="E153" s="1" t="s">
        <v>11</v>
      </c>
      <c r="F153" s="1">
        <v>10</v>
      </c>
      <c r="G153" s="14">
        <v>6580</v>
      </c>
      <c r="H153" s="14">
        <v>4671</v>
      </c>
      <c r="I153" s="14">
        <f t="shared" si="2"/>
        <v>1909</v>
      </c>
      <c r="J153" s="15">
        <f>Table1[[#This Row],[profit]]/Table1[[#This Row],[Revenue]]</f>
        <v>0.29012158054711246</v>
      </c>
      <c r="K153" s="1" t="s">
        <v>16</v>
      </c>
      <c r="L153" s="16">
        <f>MONTH(Table1[[#This Row],[OrderDate]])</f>
        <v>9</v>
      </c>
    </row>
    <row r="154" spans="1:12" x14ac:dyDescent="0.2">
      <c r="A154" s="1">
        <v>153</v>
      </c>
      <c r="B154" s="2">
        <v>46009</v>
      </c>
      <c r="C154" s="1" t="s">
        <v>49</v>
      </c>
      <c r="D154" s="1" t="s">
        <v>10</v>
      </c>
      <c r="E154" s="1" t="s">
        <v>11</v>
      </c>
      <c r="F154" s="1">
        <v>6</v>
      </c>
      <c r="G154" s="14">
        <v>2622</v>
      </c>
      <c r="H154" s="14">
        <v>1861</v>
      </c>
      <c r="I154" s="14">
        <f t="shared" si="2"/>
        <v>761</v>
      </c>
      <c r="J154" s="15">
        <f>Table1[[#This Row],[profit]]/Table1[[#This Row],[Revenue]]</f>
        <v>0.29023646071700993</v>
      </c>
      <c r="K154" s="1" t="s">
        <v>16</v>
      </c>
      <c r="L154" s="16">
        <f>MONTH(Table1[[#This Row],[OrderDate]])</f>
        <v>12</v>
      </c>
    </row>
    <row r="155" spans="1:12" x14ac:dyDescent="0.2">
      <c r="A155" s="1">
        <v>154</v>
      </c>
      <c r="B155" s="2">
        <v>45913</v>
      </c>
      <c r="C155" s="1" t="s">
        <v>44</v>
      </c>
      <c r="D155" s="1" t="s">
        <v>14</v>
      </c>
      <c r="E155" s="1" t="s">
        <v>15</v>
      </c>
      <c r="F155" s="1">
        <v>5</v>
      </c>
      <c r="G155" s="14">
        <v>9695</v>
      </c>
      <c r="H155" s="14">
        <v>7174</v>
      </c>
      <c r="I155" s="14">
        <f t="shared" si="2"/>
        <v>2521</v>
      </c>
      <c r="J155" s="15">
        <f>Table1[[#This Row],[profit]]/Table1[[#This Row],[Revenue]]</f>
        <v>0.26003094378545644</v>
      </c>
      <c r="K155" s="1" t="s">
        <v>18</v>
      </c>
      <c r="L155" s="16">
        <f>MONTH(Table1[[#This Row],[OrderDate]])</f>
        <v>9</v>
      </c>
    </row>
    <row r="156" spans="1:12" x14ac:dyDescent="0.2">
      <c r="A156" s="1">
        <v>155</v>
      </c>
      <c r="B156" s="2">
        <v>46014</v>
      </c>
      <c r="C156" s="1" t="s">
        <v>54</v>
      </c>
      <c r="D156" s="1" t="s">
        <v>20</v>
      </c>
      <c r="E156" s="1" t="s">
        <v>11</v>
      </c>
      <c r="F156" s="1">
        <v>4</v>
      </c>
      <c r="G156" s="14">
        <v>4580</v>
      </c>
      <c r="H156" s="14">
        <v>2977</v>
      </c>
      <c r="I156" s="14">
        <f t="shared" si="2"/>
        <v>1603</v>
      </c>
      <c r="J156" s="15">
        <f>Table1[[#This Row],[profit]]/Table1[[#This Row],[Revenue]]</f>
        <v>0.35</v>
      </c>
      <c r="K156" s="1" t="s">
        <v>12</v>
      </c>
      <c r="L156" s="16">
        <f>MONTH(Table1[[#This Row],[OrderDate]])</f>
        <v>12</v>
      </c>
    </row>
    <row r="157" spans="1:12" x14ac:dyDescent="0.2">
      <c r="A157" s="1">
        <v>156</v>
      </c>
      <c r="B157" s="2">
        <v>45719</v>
      </c>
      <c r="C157" s="1" t="s">
        <v>30</v>
      </c>
      <c r="D157" s="1" t="s">
        <v>14</v>
      </c>
      <c r="E157" s="1" t="s">
        <v>15</v>
      </c>
      <c r="F157" s="1">
        <v>10</v>
      </c>
      <c r="G157" s="14">
        <v>17020</v>
      </c>
      <c r="H157" s="14">
        <v>12765</v>
      </c>
      <c r="I157" s="14">
        <f t="shared" si="2"/>
        <v>4255</v>
      </c>
      <c r="J157" s="15">
        <f>Table1[[#This Row],[profit]]/Table1[[#This Row],[Revenue]]</f>
        <v>0.25</v>
      </c>
      <c r="K157" s="1" t="s">
        <v>16</v>
      </c>
      <c r="L157" s="16">
        <f>MONTH(Table1[[#This Row],[OrderDate]])</f>
        <v>3</v>
      </c>
    </row>
    <row r="158" spans="1:12" x14ac:dyDescent="0.2">
      <c r="A158" s="1">
        <v>157</v>
      </c>
      <c r="B158" s="2">
        <v>45929</v>
      </c>
      <c r="C158" s="1" t="s">
        <v>62</v>
      </c>
      <c r="D158" s="1" t="s">
        <v>10</v>
      </c>
      <c r="E158" s="1" t="s">
        <v>11</v>
      </c>
      <c r="F158" s="1">
        <v>6</v>
      </c>
      <c r="G158" s="14">
        <v>1692</v>
      </c>
      <c r="H158" s="14">
        <v>1285</v>
      </c>
      <c r="I158" s="14">
        <f t="shared" si="2"/>
        <v>407</v>
      </c>
      <c r="J158" s="15">
        <f>Table1[[#This Row],[profit]]/Table1[[#This Row],[Revenue]]</f>
        <v>0.24054373522458627</v>
      </c>
      <c r="K158" s="1" t="s">
        <v>16</v>
      </c>
      <c r="L158" s="16">
        <f>MONTH(Table1[[#This Row],[OrderDate]])</f>
        <v>9</v>
      </c>
    </row>
    <row r="159" spans="1:12" x14ac:dyDescent="0.2">
      <c r="A159" s="1">
        <v>158</v>
      </c>
      <c r="B159" s="2">
        <v>45950</v>
      </c>
      <c r="C159" s="1" t="s">
        <v>47</v>
      </c>
      <c r="D159" s="1" t="s">
        <v>10</v>
      </c>
      <c r="E159" s="1" t="s">
        <v>11</v>
      </c>
      <c r="F159" s="1">
        <v>10</v>
      </c>
      <c r="G159" s="14">
        <v>15090</v>
      </c>
      <c r="H159" s="14">
        <v>11468</v>
      </c>
      <c r="I159" s="14">
        <f t="shared" si="2"/>
        <v>3622</v>
      </c>
      <c r="J159" s="15">
        <f>Table1[[#This Row],[profit]]/Table1[[#This Row],[Revenue]]</f>
        <v>0.24002650762094102</v>
      </c>
      <c r="K159" s="1" t="s">
        <v>21</v>
      </c>
      <c r="L159" s="16">
        <f>MONTH(Table1[[#This Row],[OrderDate]])</f>
        <v>10</v>
      </c>
    </row>
    <row r="160" spans="1:12" x14ac:dyDescent="0.2">
      <c r="A160" s="1">
        <v>159</v>
      </c>
      <c r="B160" s="2">
        <v>45669</v>
      </c>
      <c r="C160" s="1" t="s">
        <v>36</v>
      </c>
      <c r="D160" s="1" t="s">
        <v>23</v>
      </c>
      <c r="E160" s="1" t="s">
        <v>24</v>
      </c>
      <c r="F160" s="1">
        <v>3</v>
      </c>
      <c r="G160" s="14">
        <v>2325</v>
      </c>
      <c r="H160" s="14">
        <v>1976</v>
      </c>
      <c r="I160" s="14">
        <f t="shared" si="2"/>
        <v>349</v>
      </c>
      <c r="J160" s="15">
        <f>Table1[[#This Row],[profit]]/Table1[[#This Row],[Revenue]]</f>
        <v>0.15010752688172044</v>
      </c>
      <c r="K160" s="1" t="s">
        <v>18</v>
      </c>
      <c r="L160" s="16">
        <f>MONTH(Table1[[#This Row],[OrderDate]])</f>
        <v>1</v>
      </c>
    </row>
    <row r="161" spans="1:12" x14ac:dyDescent="0.2">
      <c r="A161" s="1">
        <v>160</v>
      </c>
      <c r="B161" s="2">
        <v>45718</v>
      </c>
      <c r="C161" s="1" t="s">
        <v>43</v>
      </c>
      <c r="D161" s="1" t="s">
        <v>39</v>
      </c>
      <c r="E161" s="1" t="s">
        <v>11</v>
      </c>
      <c r="F161" s="1">
        <v>1</v>
      </c>
      <c r="G161" s="14">
        <v>1949</v>
      </c>
      <c r="H161" s="14">
        <v>1422</v>
      </c>
      <c r="I161" s="14">
        <f t="shared" si="2"/>
        <v>527</v>
      </c>
      <c r="J161" s="15">
        <f>Table1[[#This Row],[profit]]/Table1[[#This Row],[Revenue]]</f>
        <v>0.27039507439712673</v>
      </c>
      <c r="K161" s="1" t="s">
        <v>18</v>
      </c>
      <c r="L161" s="16">
        <f>MONTH(Table1[[#This Row],[OrderDate]])</f>
        <v>3</v>
      </c>
    </row>
    <row r="162" spans="1:12" x14ac:dyDescent="0.2">
      <c r="A162" s="1">
        <v>161</v>
      </c>
      <c r="B162" s="2">
        <v>45854</v>
      </c>
      <c r="C162" s="1" t="s">
        <v>53</v>
      </c>
      <c r="D162" s="1" t="s">
        <v>32</v>
      </c>
      <c r="E162" s="1" t="s">
        <v>24</v>
      </c>
      <c r="F162" s="1">
        <v>7</v>
      </c>
      <c r="G162" s="14">
        <v>4228</v>
      </c>
      <c r="H162" s="14">
        <v>2367</v>
      </c>
      <c r="I162" s="14">
        <f t="shared" si="2"/>
        <v>1861</v>
      </c>
      <c r="J162" s="15">
        <f>Table1[[#This Row],[profit]]/Table1[[#This Row],[Revenue]]</f>
        <v>0.44016083254493849</v>
      </c>
      <c r="K162" s="1" t="s">
        <v>12</v>
      </c>
      <c r="L162" s="16">
        <f>MONTH(Table1[[#This Row],[OrderDate]])</f>
        <v>7</v>
      </c>
    </row>
    <row r="163" spans="1:12" x14ac:dyDescent="0.2">
      <c r="A163" s="1">
        <v>162</v>
      </c>
      <c r="B163" s="2">
        <v>45892</v>
      </c>
      <c r="C163" s="1" t="s">
        <v>52</v>
      </c>
      <c r="D163" s="1" t="s">
        <v>39</v>
      </c>
      <c r="E163" s="1" t="s">
        <v>11</v>
      </c>
      <c r="F163" s="1">
        <v>8</v>
      </c>
      <c r="G163" s="14">
        <v>6968</v>
      </c>
      <c r="H163" s="14">
        <v>4250</v>
      </c>
      <c r="I163" s="14">
        <f t="shared" si="2"/>
        <v>2718</v>
      </c>
      <c r="J163" s="15">
        <f>Table1[[#This Row],[profit]]/Table1[[#This Row],[Revenue]]</f>
        <v>0.39006888633754305</v>
      </c>
      <c r="K163" s="1" t="s">
        <v>21</v>
      </c>
      <c r="L163" s="16">
        <f>MONTH(Table1[[#This Row],[OrderDate]])</f>
        <v>8</v>
      </c>
    </row>
    <row r="164" spans="1:12" x14ac:dyDescent="0.2">
      <c r="A164" s="1">
        <v>163</v>
      </c>
      <c r="B164" s="2">
        <v>45985</v>
      </c>
      <c r="C164" s="1" t="s">
        <v>38</v>
      </c>
      <c r="D164" s="1" t="s">
        <v>23</v>
      </c>
      <c r="E164" s="1" t="s">
        <v>24</v>
      </c>
      <c r="F164" s="1">
        <v>10</v>
      </c>
      <c r="G164" s="14">
        <v>18240</v>
      </c>
      <c r="H164" s="14">
        <v>11673</v>
      </c>
      <c r="I164" s="14">
        <f t="shared" si="2"/>
        <v>6567</v>
      </c>
      <c r="J164" s="15">
        <f>Table1[[#This Row],[profit]]/Table1[[#This Row],[Revenue]]</f>
        <v>0.36003289473684208</v>
      </c>
      <c r="K164" s="1" t="s">
        <v>12</v>
      </c>
      <c r="L164" s="16">
        <f>MONTH(Table1[[#This Row],[OrderDate]])</f>
        <v>11</v>
      </c>
    </row>
    <row r="165" spans="1:12" x14ac:dyDescent="0.2">
      <c r="A165" s="1">
        <v>164</v>
      </c>
      <c r="B165" s="2">
        <v>45838</v>
      </c>
      <c r="C165" s="1" t="s">
        <v>38</v>
      </c>
      <c r="D165" s="1" t="s">
        <v>28</v>
      </c>
      <c r="E165" s="1" t="s">
        <v>15</v>
      </c>
      <c r="F165" s="1">
        <v>10</v>
      </c>
      <c r="G165" s="14">
        <v>12420</v>
      </c>
      <c r="H165" s="14">
        <v>9811</v>
      </c>
      <c r="I165" s="14">
        <f t="shared" si="2"/>
        <v>2609</v>
      </c>
      <c r="J165" s="15">
        <f>Table1[[#This Row],[profit]]/Table1[[#This Row],[Revenue]]</f>
        <v>0.21006441223832528</v>
      </c>
      <c r="K165" s="1" t="s">
        <v>21</v>
      </c>
      <c r="L165" s="16">
        <f>MONTH(Table1[[#This Row],[OrderDate]])</f>
        <v>6</v>
      </c>
    </row>
    <row r="166" spans="1:12" x14ac:dyDescent="0.2">
      <c r="A166" s="1">
        <v>165</v>
      </c>
      <c r="B166" s="2">
        <v>45754</v>
      </c>
      <c r="C166" s="1" t="s">
        <v>48</v>
      </c>
      <c r="D166" s="1" t="s">
        <v>10</v>
      </c>
      <c r="E166" s="1" t="s">
        <v>11</v>
      </c>
      <c r="F166" s="1">
        <v>3</v>
      </c>
      <c r="G166" s="14">
        <v>312</v>
      </c>
      <c r="H166" s="14">
        <v>255</v>
      </c>
      <c r="I166" s="14">
        <f t="shared" si="2"/>
        <v>57</v>
      </c>
      <c r="J166" s="15">
        <f>Table1[[#This Row],[profit]]/Table1[[#This Row],[Revenue]]</f>
        <v>0.18269230769230768</v>
      </c>
      <c r="K166" s="1" t="s">
        <v>21</v>
      </c>
      <c r="L166" s="16">
        <f>MONTH(Table1[[#This Row],[OrderDate]])</f>
        <v>4</v>
      </c>
    </row>
    <row r="167" spans="1:12" x14ac:dyDescent="0.2">
      <c r="A167" s="1">
        <v>166</v>
      </c>
      <c r="B167" s="2">
        <v>45959</v>
      </c>
      <c r="C167" s="1" t="s">
        <v>40</v>
      </c>
      <c r="D167" s="1" t="s">
        <v>39</v>
      </c>
      <c r="E167" s="1" t="s">
        <v>11</v>
      </c>
      <c r="F167" s="1">
        <v>3</v>
      </c>
      <c r="G167" s="14">
        <v>4734</v>
      </c>
      <c r="H167" s="14">
        <v>3645</v>
      </c>
      <c r="I167" s="14">
        <f t="shared" si="2"/>
        <v>1089</v>
      </c>
      <c r="J167" s="15">
        <f>Table1[[#This Row],[profit]]/Table1[[#This Row],[Revenue]]</f>
        <v>0.23003802281368821</v>
      </c>
      <c r="K167" s="1" t="s">
        <v>18</v>
      </c>
      <c r="L167" s="16">
        <f>MONTH(Table1[[#This Row],[OrderDate]])</f>
        <v>10</v>
      </c>
    </row>
    <row r="168" spans="1:12" x14ac:dyDescent="0.2">
      <c r="A168" s="1">
        <v>167</v>
      </c>
      <c r="B168" s="2">
        <v>45921</v>
      </c>
      <c r="C168" s="1" t="s">
        <v>44</v>
      </c>
      <c r="D168" s="1" t="s">
        <v>37</v>
      </c>
      <c r="E168" s="1" t="s">
        <v>24</v>
      </c>
      <c r="F168" s="1">
        <v>3</v>
      </c>
      <c r="G168" s="14">
        <v>4455</v>
      </c>
      <c r="H168" s="14">
        <v>3073</v>
      </c>
      <c r="I168" s="14">
        <f t="shared" si="2"/>
        <v>1382</v>
      </c>
      <c r="J168" s="15">
        <f>Table1[[#This Row],[profit]]/Table1[[#This Row],[Revenue]]</f>
        <v>0.31021324354657687</v>
      </c>
      <c r="K168" s="1" t="s">
        <v>21</v>
      </c>
      <c r="L168" s="16">
        <f>MONTH(Table1[[#This Row],[OrderDate]])</f>
        <v>9</v>
      </c>
    </row>
    <row r="169" spans="1:12" x14ac:dyDescent="0.2">
      <c r="A169" s="1">
        <v>168</v>
      </c>
      <c r="B169" s="2">
        <v>45787</v>
      </c>
      <c r="C169" s="1" t="s">
        <v>58</v>
      </c>
      <c r="D169" s="1" t="s">
        <v>23</v>
      </c>
      <c r="E169" s="1" t="s">
        <v>24</v>
      </c>
      <c r="F169" s="1">
        <v>2</v>
      </c>
      <c r="G169" s="14">
        <v>1820</v>
      </c>
      <c r="H169" s="14">
        <v>1001</v>
      </c>
      <c r="I169" s="14">
        <f t="shared" si="2"/>
        <v>819</v>
      </c>
      <c r="J169" s="15">
        <f>Table1[[#This Row],[profit]]/Table1[[#This Row],[Revenue]]</f>
        <v>0.45</v>
      </c>
      <c r="K169" s="1" t="s">
        <v>16</v>
      </c>
      <c r="L169" s="16">
        <f>MONTH(Table1[[#This Row],[OrderDate]])</f>
        <v>5</v>
      </c>
    </row>
    <row r="170" spans="1:12" x14ac:dyDescent="0.2">
      <c r="A170" s="1">
        <v>169</v>
      </c>
      <c r="B170" s="2">
        <v>45989</v>
      </c>
      <c r="C170" s="1" t="s">
        <v>41</v>
      </c>
      <c r="D170" s="1" t="s">
        <v>28</v>
      </c>
      <c r="E170" s="1" t="s">
        <v>15</v>
      </c>
      <c r="F170" s="1">
        <v>5</v>
      </c>
      <c r="G170" s="14">
        <v>6645</v>
      </c>
      <c r="H170" s="14">
        <v>4917</v>
      </c>
      <c r="I170" s="14">
        <f t="shared" si="2"/>
        <v>1728</v>
      </c>
      <c r="J170" s="15">
        <f>Table1[[#This Row],[profit]]/Table1[[#This Row],[Revenue]]</f>
        <v>0.2600451467268623</v>
      </c>
      <c r="K170" s="1" t="s">
        <v>16</v>
      </c>
      <c r="L170" s="16">
        <f>MONTH(Table1[[#This Row],[OrderDate]])</f>
        <v>11</v>
      </c>
    </row>
    <row r="171" spans="1:12" x14ac:dyDescent="0.2">
      <c r="A171" s="1">
        <v>170</v>
      </c>
      <c r="B171" s="2">
        <v>45810</v>
      </c>
      <c r="C171" s="1" t="s">
        <v>43</v>
      </c>
      <c r="D171" s="1" t="s">
        <v>23</v>
      </c>
      <c r="E171" s="1" t="s">
        <v>24</v>
      </c>
      <c r="F171" s="1">
        <v>1</v>
      </c>
      <c r="G171" s="14">
        <v>121</v>
      </c>
      <c r="H171" s="14">
        <v>82</v>
      </c>
      <c r="I171" s="14">
        <f t="shared" si="2"/>
        <v>39</v>
      </c>
      <c r="J171" s="15">
        <f>Table1[[#This Row],[profit]]/Table1[[#This Row],[Revenue]]</f>
        <v>0.32231404958677684</v>
      </c>
      <c r="K171" s="1" t="s">
        <v>12</v>
      </c>
      <c r="L171" s="16">
        <f>MONTH(Table1[[#This Row],[OrderDate]])</f>
        <v>6</v>
      </c>
    </row>
    <row r="172" spans="1:12" x14ac:dyDescent="0.2">
      <c r="A172" s="1">
        <v>171</v>
      </c>
      <c r="B172" s="2">
        <v>45929</v>
      </c>
      <c r="C172" s="1" t="s">
        <v>44</v>
      </c>
      <c r="D172" s="1" t="s">
        <v>32</v>
      </c>
      <c r="E172" s="1" t="s">
        <v>24</v>
      </c>
      <c r="F172" s="1">
        <v>10</v>
      </c>
      <c r="G172" s="14">
        <v>19480</v>
      </c>
      <c r="H172" s="14">
        <v>11882</v>
      </c>
      <c r="I172" s="14">
        <f t="shared" si="2"/>
        <v>7598</v>
      </c>
      <c r="J172" s="15">
        <f>Table1[[#This Row],[profit]]/Table1[[#This Row],[Revenue]]</f>
        <v>0.39004106776180697</v>
      </c>
      <c r="K172" s="1" t="s">
        <v>16</v>
      </c>
      <c r="L172" s="16">
        <f>MONTH(Table1[[#This Row],[OrderDate]])</f>
        <v>9</v>
      </c>
    </row>
    <row r="173" spans="1:12" x14ac:dyDescent="0.2">
      <c r="A173" s="1">
        <v>172</v>
      </c>
      <c r="B173" s="2">
        <v>45687</v>
      </c>
      <c r="C173" s="1" t="s">
        <v>46</v>
      </c>
      <c r="D173" s="1" t="s">
        <v>10</v>
      </c>
      <c r="E173" s="1" t="s">
        <v>11</v>
      </c>
      <c r="F173" s="1">
        <v>4</v>
      </c>
      <c r="G173" s="14">
        <v>1676</v>
      </c>
      <c r="H173" s="14">
        <v>1139</v>
      </c>
      <c r="I173" s="14">
        <f t="shared" si="2"/>
        <v>537</v>
      </c>
      <c r="J173" s="15">
        <f>Table1[[#This Row],[profit]]/Table1[[#This Row],[Revenue]]</f>
        <v>0.3204057279236277</v>
      </c>
      <c r="K173" s="1" t="s">
        <v>18</v>
      </c>
      <c r="L173" s="16">
        <f>MONTH(Table1[[#This Row],[OrderDate]])</f>
        <v>1</v>
      </c>
    </row>
    <row r="174" spans="1:12" x14ac:dyDescent="0.2">
      <c r="A174" s="1">
        <v>173</v>
      </c>
      <c r="B174" s="2">
        <v>45807</v>
      </c>
      <c r="C174" s="1" t="s">
        <v>58</v>
      </c>
      <c r="D174" s="1" t="s">
        <v>28</v>
      </c>
      <c r="E174" s="1" t="s">
        <v>15</v>
      </c>
      <c r="F174" s="1">
        <v>3</v>
      </c>
      <c r="G174" s="14">
        <v>1101</v>
      </c>
      <c r="H174" s="14">
        <v>924</v>
      </c>
      <c r="I174" s="14">
        <f t="shared" si="2"/>
        <v>177</v>
      </c>
      <c r="J174" s="15">
        <f>Table1[[#This Row],[profit]]/Table1[[#This Row],[Revenue]]</f>
        <v>0.16076294277929154</v>
      </c>
      <c r="K174" s="1" t="s">
        <v>12</v>
      </c>
      <c r="L174" s="16">
        <f>MONTH(Table1[[#This Row],[OrderDate]])</f>
        <v>5</v>
      </c>
    </row>
    <row r="175" spans="1:12" x14ac:dyDescent="0.2">
      <c r="A175" s="1">
        <v>174</v>
      </c>
      <c r="B175" s="2">
        <v>45950</v>
      </c>
      <c r="C175" s="1" t="s">
        <v>34</v>
      </c>
      <c r="D175" s="1" t="s">
        <v>14</v>
      </c>
      <c r="E175" s="1" t="s">
        <v>15</v>
      </c>
      <c r="F175" s="1">
        <v>3</v>
      </c>
      <c r="G175" s="14">
        <v>4173</v>
      </c>
      <c r="H175" s="14">
        <v>2587</v>
      </c>
      <c r="I175" s="14">
        <f t="shared" si="2"/>
        <v>1586</v>
      </c>
      <c r="J175" s="15">
        <f>Table1[[#This Row],[profit]]/Table1[[#This Row],[Revenue]]</f>
        <v>0.38006230529595014</v>
      </c>
      <c r="K175" s="1" t="s">
        <v>21</v>
      </c>
      <c r="L175" s="16">
        <f>MONTH(Table1[[#This Row],[OrderDate]])</f>
        <v>10</v>
      </c>
    </row>
    <row r="176" spans="1:12" x14ac:dyDescent="0.2">
      <c r="A176" s="1">
        <v>175</v>
      </c>
      <c r="B176" s="2">
        <v>45817</v>
      </c>
      <c r="C176" s="1" t="s">
        <v>9</v>
      </c>
      <c r="D176" s="1" t="s">
        <v>32</v>
      </c>
      <c r="E176" s="1" t="s">
        <v>24</v>
      </c>
      <c r="F176" s="1">
        <v>7</v>
      </c>
      <c r="G176" s="14">
        <v>7973</v>
      </c>
      <c r="H176" s="14">
        <v>6059</v>
      </c>
      <c r="I176" s="14">
        <f t="shared" si="2"/>
        <v>1914</v>
      </c>
      <c r="J176" s="15">
        <f>Table1[[#This Row],[profit]]/Table1[[#This Row],[Revenue]]</f>
        <v>0.24006020318575191</v>
      </c>
      <c r="K176" s="1" t="s">
        <v>16</v>
      </c>
      <c r="L176" s="16">
        <f>MONTH(Table1[[#This Row],[OrderDate]])</f>
        <v>6</v>
      </c>
    </row>
    <row r="177" spans="1:12" x14ac:dyDescent="0.2">
      <c r="A177" s="1">
        <v>176</v>
      </c>
      <c r="B177" s="2">
        <v>45965</v>
      </c>
      <c r="C177" s="1" t="s">
        <v>35</v>
      </c>
      <c r="D177" s="1" t="s">
        <v>28</v>
      </c>
      <c r="E177" s="1" t="s">
        <v>15</v>
      </c>
      <c r="F177" s="1">
        <v>10</v>
      </c>
      <c r="G177" s="14">
        <v>4910</v>
      </c>
      <c r="H177" s="14">
        <v>3584</v>
      </c>
      <c r="I177" s="14">
        <f t="shared" si="2"/>
        <v>1326</v>
      </c>
      <c r="J177" s="15">
        <f>Table1[[#This Row],[profit]]/Table1[[#This Row],[Revenue]]</f>
        <v>0.27006109979633403</v>
      </c>
      <c r="K177" s="1" t="s">
        <v>12</v>
      </c>
      <c r="L177" s="16">
        <f>MONTH(Table1[[#This Row],[OrderDate]])</f>
        <v>11</v>
      </c>
    </row>
    <row r="178" spans="1:12" x14ac:dyDescent="0.2">
      <c r="A178" s="1">
        <v>177</v>
      </c>
      <c r="B178" s="2">
        <v>45722</v>
      </c>
      <c r="C178" s="1" t="s">
        <v>44</v>
      </c>
      <c r="D178" s="1" t="s">
        <v>23</v>
      </c>
      <c r="E178" s="1" t="s">
        <v>24</v>
      </c>
      <c r="F178" s="1">
        <v>9</v>
      </c>
      <c r="G178" s="14">
        <v>9207</v>
      </c>
      <c r="H178" s="14">
        <v>7089</v>
      </c>
      <c r="I178" s="14">
        <f t="shared" si="2"/>
        <v>2118</v>
      </c>
      <c r="J178" s="15">
        <f>Table1[[#This Row],[profit]]/Table1[[#This Row],[Revenue]]</f>
        <v>0.23004235907461715</v>
      </c>
      <c r="K178" s="1" t="s">
        <v>21</v>
      </c>
      <c r="L178" s="16">
        <f>MONTH(Table1[[#This Row],[OrderDate]])</f>
        <v>3</v>
      </c>
    </row>
    <row r="179" spans="1:12" x14ac:dyDescent="0.2">
      <c r="A179" s="1">
        <v>178</v>
      </c>
      <c r="B179" s="2">
        <v>45718</v>
      </c>
      <c r="C179" s="1" t="s">
        <v>26</v>
      </c>
      <c r="D179" s="1" t="s">
        <v>10</v>
      </c>
      <c r="E179" s="1" t="s">
        <v>11</v>
      </c>
      <c r="F179" s="1">
        <v>6</v>
      </c>
      <c r="G179" s="14">
        <v>3864</v>
      </c>
      <c r="H179" s="14">
        <v>2241</v>
      </c>
      <c r="I179" s="14">
        <f t="shared" si="2"/>
        <v>1623</v>
      </c>
      <c r="J179" s="15">
        <f>Table1[[#This Row],[profit]]/Table1[[#This Row],[Revenue]]</f>
        <v>0.42003105590062112</v>
      </c>
      <c r="K179" s="1" t="s">
        <v>21</v>
      </c>
      <c r="L179" s="16">
        <f>MONTH(Table1[[#This Row],[OrderDate]])</f>
        <v>3</v>
      </c>
    </row>
    <row r="180" spans="1:12" x14ac:dyDescent="0.2">
      <c r="A180" s="1">
        <v>179</v>
      </c>
      <c r="B180" s="2">
        <v>45994</v>
      </c>
      <c r="C180" s="1" t="s">
        <v>59</v>
      </c>
      <c r="D180" s="1" t="s">
        <v>10</v>
      </c>
      <c r="E180" s="1" t="s">
        <v>11</v>
      </c>
      <c r="F180" s="1">
        <v>4</v>
      </c>
      <c r="G180" s="14">
        <v>4664</v>
      </c>
      <c r="H180" s="14">
        <v>2611</v>
      </c>
      <c r="I180" s="14">
        <f t="shared" si="2"/>
        <v>2053</v>
      </c>
      <c r="J180" s="15">
        <f>Table1[[#This Row],[profit]]/Table1[[#This Row],[Revenue]]</f>
        <v>0.440180102915952</v>
      </c>
      <c r="K180" s="1" t="s">
        <v>18</v>
      </c>
      <c r="L180" s="16">
        <f>MONTH(Table1[[#This Row],[OrderDate]])</f>
        <v>12</v>
      </c>
    </row>
    <row r="181" spans="1:12" x14ac:dyDescent="0.2">
      <c r="A181" s="1">
        <v>180</v>
      </c>
      <c r="B181" s="2">
        <v>45660</v>
      </c>
      <c r="C181" s="1" t="s">
        <v>61</v>
      </c>
      <c r="D181" s="1" t="s">
        <v>20</v>
      </c>
      <c r="E181" s="1" t="s">
        <v>11</v>
      </c>
      <c r="F181" s="1">
        <v>3</v>
      </c>
      <c r="G181" s="14">
        <v>5202</v>
      </c>
      <c r="H181" s="14">
        <v>4109</v>
      </c>
      <c r="I181" s="14">
        <f t="shared" si="2"/>
        <v>1093</v>
      </c>
      <c r="J181" s="15">
        <f>Table1[[#This Row],[profit]]/Table1[[#This Row],[Revenue]]</f>
        <v>0.2101114955786236</v>
      </c>
      <c r="K181" s="1" t="s">
        <v>18</v>
      </c>
      <c r="L181" s="16">
        <f>MONTH(Table1[[#This Row],[OrderDate]])</f>
        <v>1</v>
      </c>
    </row>
    <row r="182" spans="1:12" x14ac:dyDescent="0.2">
      <c r="A182" s="1">
        <v>181</v>
      </c>
      <c r="B182" s="2">
        <v>45711</v>
      </c>
      <c r="C182" s="1" t="s">
        <v>22</v>
      </c>
      <c r="D182" s="1" t="s">
        <v>28</v>
      </c>
      <c r="E182" s="1" t="s">
        <v>15</v>
      </c>
      <c r="F182" s="1">
        <v>10</v>
      </c>
      <c r="G182" s="14">
        <v>19870</v>
      </c>
      <c r="H182" s="14">
        <v>16889</v>
      </c>
      <c r="I182" s="14">
        <f t="shared" si="2"/>
        <v>2981</v>
      </c>
      <c r="J182" s="15">
        <f>Table1[[#This Row],[profit]]/Table1[[#This Row],[Revenue]]</f>
        <v>0.15002516356316054</v>
      </c>
      <c r="K182" s="1" t="s">
        <v>21</v>
      </c>
      <c r="L182" s="16">
        <f>MONTH(Table1[[#This Row],[OrderDate]])</f>
        <v>2</v>
      </c>
    </row>
    <row r="183" spans="1:12" x14ac:dyDescent="0.2">
      <c r="A183" s="1">
        <v>182</v>
      </c>
      <c r="B183" s="2">
        <v>45780</v>
      </c>
      <c r="C183" s="1" t="s">
        <v>13</v>
      </c>
      <c r="D183" s="1" t="s">
        <v>37</v>
      </c>
      <c r="E183" s="1" t="s">
        <v>24</v>
      </c>
      <c r="F183" s="1">
        <v>9</v>
      </c>
      <c r="G183" s="14">
        <v>5499</v>
      </c>
      <c r="H183" s="14">
        <v>3959</v>
      </c>
      <c r="I183" s="14">
        <f t="shared" si="2"/>
        <v>1540</v>
      </c>
      <c r="J183" s="15">
        <f>Table1[[#This Row],[profit]]/Table1[[#This Row],[Revenue]]</f>
        <v>0.2800509183487907</v>
      </c>
      <c r="K183" s="1" t="s">
        <v>18</v>
      </c>
      <c r="L183" s="16">
        <f>MONTH(Table1[[#This Row],[OrderDate]])</f>
        <v>5</v>
      </c>
    </row>
    <row r="184" spans="1:12" x14ac:dyDescent="0.2">
      <c r="A184" s="1">
        <v>183</v>
      </c>
      <c r="B184" s="2">
        <v>45764</v>
      </c>
      <c r="C184" s="1" t="s">
        <v>46</v>
      </c>
      <c r="D184" s="1" t="s">
        <v>23</v>
      </c>
      <c r="E184" s="1" t="s">
        <v>24</v>
      </c>
      <c r="F184" s="1">
        <v>6</v>
      </c>
      <c r="G184" s="14">
        <v>8040</v>
      </c>
      <c r="H184" s="14">
        <v>6512</v>
      </c>
      <c r="I184" s="14">
        <f t="shared" si="2"/>
        <v>1528</v>
      </c>
      <c r="J184" s="15">
        <f>Table1[[#This Row],[profit]]/Table1[[#This Row],[Revenue]]</f>
        <v>0.1900497512437811</v>
      </c>
      <c r="K184" s="1" t="s">
        <v>21</v>
      </c>
      <c r="L184" s="16">
        <f>MONTH(Table1[[#This Row],[OrderDate]])</f>
        <v>4</v>
      </c>
    </row>
    <row r="185" spans="1:12" x14ac:dyDescent="0.2">
      <c r="A185" s="1">
        <v>184</v>
      </c>
      <c r="B185" s="2">
        <v>45790</v>
      </c>
      <c r="C185" s="1" t="s">
        <v>19</v>
      </c>
      <c r="D185" s="1" t="s">
        <v>32</v>
      </c>
      <c r="E185" s="1" t="s">
        <v>24</v>
      </c>
      <c r="F185" s="1">
        <v>8</v>
      </c>
      <c r="G185" s="14">
        <v>5328</v>
      </c>
      <c r="H185" s="14">
        <v>3409</v>
      </c>
      <c r="I185" s="14">
        <f t="shared" si="2"/>
        <v>1919</v>
      </c>
      <c r="J185" s="15">
        <f>Table1[[#This Row],[profit]]/Table1[[#This Row],[Revenue]]</f>
        <v>0.36017267267267267</v>
      </c>
      <c r="K185" s="1" t="s">
        <v>12</v>
      </c>
      <c r="L185" s="16">
        <f>MONTH(Table1[[#This Row],[OrderDate]])</f>
        <v>5</v>
      </c>
    </row>
    <row r="186" spans="1:12" x14ac:dyDescent="0.2">
      <c r="A186" s="1">
        <v>185</v>
      </c>
      <c r="B186" s="2">
        <v>45709</v>
      </c>
      <c r="C186" s="1" t="s">
        <v>40</v>
      </c>
      <c r="D186" s="1" t="s">
        <v>39</v>
      </c>
      <c r="E186" s="1" t="s">
        <v>11</v>
      </c>
      <c r="F186" s="1">
        <v>4</v>
      </c>
      <c r="G186" s="14">
        <v>7428</v>
      </c>
      <c r="H186" s="14">
        <v>4159</v>
      </c>
      <c r="I186" s="14">
        <f t="shared" si="2"/>
        <v>3269</v>
      </c>
      <c r="J186" s="15">
        <f>Table1[[#This Row],[profit]]/Table1[[#This Row],[Revenue]]</f>
        <v>0.44009154550350027</v>
      </c>
      <c r="K186" s="1" t="s">
        <v>16</v>
      </c>
      <c r="L186" s="16">
        <f>MONTH(Table1[[#This Row],[OrderDate]])</f>
        <v>2</v>
      </c>
    </row>
    <row r="187" spans="1:12" x14ac:dyDescent="0.2">
      <c r="A187" s="1">
        <v>186</v>
      </c>
      <c r="B187" s="2">
        <v>45825</v>
      </c>
      <c r="C187" s="1" t="s">
        <v>58</v>
      </c>
      <c r="D187" s="1" t="s">
        <v>37</v>
      </c>
      <c r="E187" s="1" t="s">
        <v>24</v>
      </c>
      <c r="F187" s="1">
        <v>4</v>
      </c>
      <c r="G187" s="14">
        <v>4224</v>
      </c>
      <c r="H187" s="14">
        <v>3505</v>
      </c>
      <c r="I187" s="14">
        <f t="shared" si="2"/>
        <v>719</v>
      </c>
      <c r="J187" s="15">
        <f>Table1[[#This Row],[profit]]/Table1[[#This Row],[Revenue]]</f>
        <v>0.17021780303030304</v>
      </c>
      <c r="K187" s="1" t="s">
        <v>21</v>
      </c>
      <c r="L187" s="16">
        <f>MONTH(Table1[[#This Row],[OrderDate]])</f>
        <v>6</v>
      </c>
    </row>
    <row r="188" spans="1:12" x14ac:dyDescent="0.2">
      <c r="A188" s="1">
        <v>187</v>
      </c>
      <c r="B188" s="2">
        <v>45955</v>
      </c>
      <c r="C188" s="1" t="s">
        <v>36</v>
      </c>
      <c r="D188" s="1" t="s">
        <v>28</v>
      </c>
      <c r="E188" s="1" t="s">
        <v>15</v>
      </c>
      <c r="F188" s="1">
        <v>7</v>
      </c>
      <c r="G188" s="14">
        <v>7392</v>
      </c>
      <c r="H188" s="14">
        <v>5174</v>
      </c>
      <c r="I188" s="14">
        <f t="shared" si="2"/>
        <v>2218</v>
      </c>
      <c r="J188" s="15">
        <f>Table1[[#This Row],[profit]]/Table1[[#This Row],[Revenue]]</f>
        <v>0.30005411255411257</v>
      </c>
      <c r="K188" s="1" t="s">
        <v>12</v>
      </c>
      <c r="L188" s="16">
        <f>MONTH(Table1[[#This Row],[OrderDate]])</f>
        <v>10</v>
      </c>
    </row>
    <row r="189" spans="1:12" x14ac:dyDescent="0.2">
      <c r="A189" s="1">
        <v>188</v>
      </c>
      <c r="B189" s="2">
        <v>45725</v>
      </c>
      <c r="C189" s="1" t="s">
        <v>52</v>
      </c>
      <c r="D189" s="1" t="s">
        <v>20</v>
      </c>
      <c r="E189" s="1" t="s">
        <v>11</v>
      </c>
      <c r="F189" s="1">
        <v>9</v>
      </c>
      <c r="G189" s="14">
        <v>15273</v>
      </c>
      <c r="H189" s="14">
        <v>10691</v>
      </c>
      <c r="I189" s="14">
        <f t="shared" si="2"/>
        <v>4582</v>
      </c>
      <c r="J189" s="15">
        <f>Table1[[#This Row],[profit]]/Table1[[#This Row],[Revenue]]</f>
        <v>0.30000654750212796</v>
      </c>
      <c r="K189" s="1" t="s">
        <v>12</v>
      </c>
      <c r="L189" s="16">
        <f>MONTH(Table1[[#This Row],[OrderDate]])</f>
        <v>3</v>
      </c>
    </row>
    <row r="190" spans="1:12" x14ac:dyDescent="0.2">
      <c r="A190" s="1">
        <v>189</v>
      </c>
      <c r="B190" s="2">
        <v>45728</v>
      </c>
      <c r="C190" s="1" t="s">
        <v>62</v>
      </c>
      <c r="D190" s="1" t="s">
        <v>37</v>
      </c>
      <c r="E190" s="1" t="s">
        <v>24</v>
      </c>
      <c r="F190" s="1">
        <v>5</v>
      </c>
      <c r="G190" s="14">
        <v>2180</v>
      </c>
      <c r="H190" s="14">
        <v>1853</v>
      </c>
      <c r="I190" s="14">
        <f t="shared" si="2"/>
        <v>327</v>
      </c>
      <c r="J190" s="15">
        <f>Table1[[#This Row],[profit]]/Table1[[#This Row],[Revenue]]</f>
        <v>0.15</v>
      </c>
      <c r="K190" s="1" t="s">
        <v>12</v>
      </c>
      <c r="L190" s="16">
        <f>MONTH(Table1[[#This Row],[OrderDate]])</f>
        <v>3</v>
      </c>
    </row>
    <row r="191" spans="1:12" x14ac:dyDescent="0.2">
      <c r="A191" s="1">
        <v>190</v>
      </c>
      <c r="B191" s="2">
        <v>45684</v>
      </c>
      <c r="C191" s="1" t="s">
        <v>53</v>
      </c>
      <c r="D191" s="1" t="s">
        <v>39</v>
      </c>
      <c r="E191" s="1" t="s">
        <v>11</v>
      </c>
      <c r="F191" s="1">
        <v>7</v>
      </c>
      <c r="G191" s="14">
        <v>1463</v>
      </c>
      <c r="H191" s="14">
        <v>1111</v>
      </c>
      <c r="I191" s="14">
        <f t="shared" si="2"/>
        <v>352</v>
      </c>
      <c r="J191" s="15">
        <f>Table1[[#This Row],[profit]]/Table1[[#This Row],[Revenue]]</f>
        <v>0.24060150375939848</v>
      </c>
      <c r="K191" s="1" t="s">
        <v>12</v>
      </c>
      <c r="L191" s="16">
        <f>MONTH(Table1[[#This Row],[OrderDate]])</f>
        <v>1</v>
      </c>
    </row>
    <row r="192" spans="1:12" x14ac:dyDescent="0.2">
      <c r="A192" s="1">
        <v>191</v>
      </c>
      <c r="B192" s="2">
        <v>45854</v>
      </c>
      <c r="C192" s="1" t="s">
        <v>17</v>
      </c>
      <c r="D192" s="1" t="s">
        <v>14</v>
      </c>
      <c r="E192" s="1" t="s">
        <v>15</v>
      </c>
      <c r="F192" s="1">
        <v>8</v>
      </c>
      <c r="G192" s="14">
        <v>2888</v>
      </c>
      <c r="H192" s="14">
        <v>1848</v>
      </c>
      <c r="I192" s="14">
        <f t="shared" si="2"/>
        <v>1040</v>
      </c>
      <c r="J192" s="15">
        <f>Table1[[#This Row],[profit]]/Table1[[#This Row],[Revenue]]</f>
        <v>0.36011080332409973</v>
      </c>
      <c r="K192" s="1" t="s">
        <v>12</v>
      </c>
      <c r="L192" s="16">
        <f>MONTH(Table1[[#This Row],[OrderDate]])</f>
        <v>7</v>
      </c>
    </row>
    <row r="193" spans="1:12" x14ac:dyDescent="0.2">
      <c r="A193" s="1">
        <v>192</v>
      </c>
      <c r="B193" s="2">
        <v>45690</v>
      </c>
      <c r="C193" s="1" t="s">
        <v>56</v>
      </c>
      <c r="D193" s="1" t="s">
        <v>39</v>
      </c>
      <c r="E193" s="1" t="s">
        <v>11</v>
      </c>
      <c r="F193" s="1">
        <v>2</v>
      </c>
      <c r="G193" s="14">
        <v>974</v>
      </c>
      <c r="H193" s="14">
        <v>574</v>
      </c>
      <c r="I193" s="14">
        <f t="shared" si="2"/>
        <v>400</v>
      </c>
      <c r="J193" s="15">
        <f>Table1[[#This Row],[profit]]/Table1[[#This Row],[Revenue]]</f>
        <v>0.41067761806981518</v>
      </c>
      <c r="K193" s="1" t="s">
        <v>12</v>
      </c>
      <c r="L193" s="16">
        <f>MONTH(Table1[[#This Row],[OrderDate]])</f>
        <v>2</v>
      </c>
    </row>
    <row r="194" spans="1:12" x14ac:dyDescent="0.2">
      <c r="A194" s="1">
        <v>193</v>
      </c>
      <c r="B194" s="2">
        <v>45976</v>
      </c>
      <c r="C194" s="1" t="s">
        <v>56</v>
      </c>
      <c r="D194" s="1" t="s">
        <v>14</v>
      </c>
      <c r="E194" s="1" t="s">
        <v>15</v>
      </c>
      <c r="F194" s="1">
        <v>4</v>
      </c>
      <c r="G194" s="14">
        <v>6444</v>
      </c>
      <c r="H194" s="14">
        <v>4704</v>
      </c>
      <c r="I194" s="14">
        <f t="shared" si="2"/>
        <v>1740</v>
      </c>
      <c r="J194" s="15">
        <f>Table1[[#This Row],[profit]]/Table1[[#This Row],[Revenue]]</f>
        <v>0.27001862197392923</v>
      </c>
      <c r="K194" s="1" t="s">
        <v>21</v>
      </c>
      <c r="L194" s="16">
        <f>MONTH(Table1[[#This Row],[OrderDate]])</f>
        <v>11</v>
      </c>
    </row>
    <row r="195" spans="1:12" x14ac:dyDescent="0.2">
      <c r="A195" s="1">
        <v>194</v>
      </c>
      <c r="B195" s="2">
        <v>45766</v>
      </c>
      <c r="C195" s="1" t="s">
        <v>38</v>
      </c>
      <c r="D195" s="1" t="s">
        <v>28</v>
      </c>
      <c r="E195" s="1" t="s">
        <v>15</v>
      </c>
      <c r="F195" s="1">
        <v>2</v>
      </c>
      <c r="G195" s="14">
        <v>3572</v>
      </c>
      <c r="H195" s="14">
        <v>2214</v>
      </c>
      <c r="I195" s="14">
        <f t="shared" ref="I195:I258" si="3">G195-H195</f>
        <v>1358</v>
      </c>
      <c r="J195" s="15">
        <f>Table1[[#This Row],[profit]]/Table1[[#This Row],[Revenue]]</f>
        <v>0.38017917133258677</v>
      </c>
      <c r="K195" s="1" t="s">
        <v>12</v>
      </c>
      <c r="L195" s="16">
        <f>MONTH(Table1[[#This Row],[OrderDate]])</f>
        <v>4</v>
      </c>
    </row>
    <row r="196" spans="1:12" x14ac:dyDescent="0.2">
      <c r="A196" s="1">
        <v>195</v>
      </c>
      <c r="B196" s="2">
        <v>45911</v>
      </c>
      <c r="C196" s="1" t="s">
        <v>25</v>
      </c>
      <c r="D196" s="1" t="s">
        <v>10</v>
      </c>
      <c r="E196" s="1" t="s">
        <v>11</v>
      </c>
      <c r="F196" s="1">
        <v>4</v>
      </c>
      <c r="G196" s="14">
        <v>4048</v>
      </c>
      <c r="H196" s="14">
        <v>2914</v>
      </c>
      <c r="I196" s="14">
        <f t="shared" si="3"/>
        <v>1134</v>
      </c>
      <c r="J196" s="15">
        <f>Table1[[#This Row],[profit]]/Table1[[#This Row],[Revenue]]</f>
        <v>0.28013833992094861</v>
      </c>
      <c r="K196" s="1" t="s">
        <v>18</v>
      </c>
      <c r="L196" s="16">
        <f>MONTH(Table1[[#This Row],[OrderDate]])</f>
        <v>9</v>
      </c>
    </row>
    <row r="197" spans="1:12" x14ac:dyDescent="0.2">
      <c r="A197" s="1">
        <v>196</v>
      </c>
      <c r="B197" s="2">
        <v>45798</v>
      </c>
      <c r="C197" s="1" t="s">
        <v>35</v>
      </c>
      <c r="D197" s="1" t="s">
        <v>20</v>
      </c>
      <c r="E197" s="1" t="s">
        <v>11</v>
      </c>
      <c r="F197" s="1">
        <v>9</v>
      </c>
      <c r="G197" s="14">
        <v>2673</v>
      </c>
      <c r="H197" s="14">
        <v>2084</v>
      </c>
      <c r="I197" s="14">
        <f t="shared" si="3"/>
        <v>589</v>
      </c>
      <c r="J197" s="15">
        <f>Table1[[#This Row],[profit]]/Table1[[#This Row],[Revenue]]</f>
        <v>0.22035166479610924</v>
      </c>
      <c r="K197" s="1" t="s">
        <v>18</v>
      </c>
      <c r="L197" s="16">
        <f>MONTH(Table1[[#This Row],[OrderDate]])</f>
        <v>5</v>
      </c>
    </row>
    <row r="198" spans="1:12" x14ac:dyDescent="0.2">
      <c r="A198" s="1">
        <v>197</v>
      </c>
      <c r="B198" s="2">
        <v>45768</v>
      </c>
      <c r="C198" s="1" t="s">
        <v>44</v>
      </c>
      <c r="D198" s="1" t="s">
        <v>28</v>
      </c>
      <c r="E198" s="1" t="s">
        <v>15</v>
      </c>
      <c r="F198" s="1">
        <v>5</v>
      </c>
      <c r="G198" s="14">
        <v>7820</v>
      </c>
      <c r="H198" s="14">
        <v>5161</v>
      </c>
      <c r="I198" s="14">
        <f t="shared" si="3"/>
        <v>2659</v>
      </c>
      <c r="J198" s="15">
        <f>Table1[[#This Row],[profit]]/Table1[[#This Row],[Revenue]]</f>
        <v>0.34002557544757034</v>
      </c>
      <c r="K198" s="1" t="s">
        <v>18</v>
      </c>
      <c r="L198" s="16">
        <f>MONTH(Table1[[#This Row],[OrderDate]])</f>
        <v>4</v>
      </c>
    </row>
    <row r="199" spans="1:12" x14ac:dyDescent="0.2">
      <c r="A199" s="1">
        <v>198</v>
      </c>
      <c r="B199" s="2">
        <v>45734</v>
      </c>
      <c r="C199" s="1" t="s">
        <v>42</v>
      </c>
      <c r="D199" s="1" t="s">
        <v>32</v>
      </c>
      <c r="E199" s="1" t="s">
        <v>24</v>
      </c>
      <c r="F199" s="1">
        <v>6</v>
      </c>
      <c r="G199" s="14">
        <v>7620</v>
      </c>
      <c r="H199" s="14">
        <v>4495</v>
      </c>
      <c r="I199" s="14">
        <f t="shared" si="3"/>
        <v>3125</v>
      </c>
      <c r="J199" s="15">
        <f>Table1[[#This Row],[profit]]/Table1[[#This Row],[Revenue]]</f>
        <v>0.41010498687664043</v>
      </c>
      <c r="K199" s="1" t="s">
        <v>16</v>
      </c>
      <c r="L199" s="16">
        <f>MONTH(Table1[[#This Row],[OrderDate]])</f>
        <v>3</v>
      </c>
    </row>
    <row r="200" spans="1:12" x14ac:dyDescent="0.2">
      <c r="A200" s="1">
        <v>199</v>
      </c>
      <c r="B200" s="2">
        <v>45808</v>
      </c>
      <c r="C200" s="1" t="s">
        <v>41</v>
      </c>
      <c r="D200" s="1" t="s">
        <v>20</v>
      </c>
      <c r="E200" s="1" t="s">
        <v>11</v>
      </c>
      <c r="F200" s="1">
        <v>3</v>
      </c>
      <c r="G200" s="14">
        <v>3357</v>
      </c>
      <c r="H200" s="14">
        <v>2786</v>
      </c>
      <c r="I200" s="14">
        <f t="shared" si="3"/>
        <v>571</v>
      </c>
      <c r="J200" s="15">
        <f>Table1[[#This Row],[profit]]/Table1[[#This Row],[Revenue]]</f>
        <v>0.17009234435507894</v>
      </c>
      <c r="K200" s="1" t="s">
        <v>12</v>
      </c>
      <c r="L200" s="16">
        <f>MONTH(Table1[[#This Row],[OrderDate]])</f>
        <v>5</v>
      </c>
    </row>
    <row r="201" spans="1:12" x14ac:dyDescent="0.2">
      <c r="A201" s="1">
        <v>200</v>
      </c>
      <c r="B201" s="2">
        <v>45692</v>
      </c>
      <c r="C201" s="1" t="s">
        <v>58</v>
      </c>
      <c r="D201" s="1" t="s">
        <v>23</v>
      </c>
      <c r="E201" s="1" t="s">
        <v>24</v>
      </c>
      <c r="F201" s="1">
        <v>5</v>
      </c>
      <c r="G201" s="14">
        <v>5605</v>
      </c>
      <c r="H201" s="14">
        <v>4596</v>
      </c>
      <c r="I201" s="14">
        <f t="shared" si="3"/>
        <v>1009</v>
      </c>
      <c r="J201" s="15">
        <f>Table1[[#This Row],[profit]]/Table1[[#This Row],[Revenue]]</f>
        <v>0.1800178412132025</v>
      </c>
      <c r="K201" s="1" t="s">
        <v>18</v>
      </c>
      <c r="L201" s="16">
        <f>MONTH(Table1[[#This Row],[OrderDate]])</f>
        <v>2</v>
      </c>
    </row>
    <row r="202" spans="1:12" x14ac:dyDescent="0.2">
      <c r="A202" s="1">
        <v>201</v>
      </c>
      <c r="B202" s="2">
        <v>45774</v>
      </c>
      <c r="C202" s="1" t="s">
        <v>63</v>
      </c>
      <c r="D202" s="1" t="s">
        <v>37</v>
      </c>
      <c r="E202" s="1" t="s">
        <v>24</v>
      </c>
      <c r="F202" s="1">
        <v>2</v>
      </c>
      <c r="G202" s="14">
        <v>978</v>
      </c>
      <c r="H202" s="14">
        <v>577</v>
      </c>
      <c r="I202" s="14">
        <f t="shared" si="3"/>
        <v>401</v>
      </c>
      <c r="J202" s="15">
        <f>Table1[[#This Row],[profit]]/Table1[[#This Row],[Revenue]]</f>
        <v>0.41002044989775049</v>
      </c>
      <c r="K202" s="1" t="s">
        <v>18</v>
      </c>
      <c r="L202" s="16">
        <f>MONTH(Table1[[#This Row],[OrderDate]])</f>
        <v>4</v>
      </c>
    </row>
    <row r="203" spans="1:12" x14ac:dyDescent="0.2">
      <c r="A203" s="1">
        <v>202</v>
      </c>
      <c r="B203" s="2">
        <v>45982</v>
      </c>
      <c r="C203" s="1" t="s">
        <v>33</v>
      </c>
      <c r="D203" s="1" t="s">
        <v>32</v>
      </c>
      <c r="E203" s="1" t="s">
        <v>24</v>
      </c>
      <c r="F203" s="1">
        <v>7</v>
      </c>
      <c r="G203" s="14">
        <v>7798</v>
      </c>
      <c r="H203" s="14">
        <v>5224</v>
      </c>
      <c r="I203" s="14">
        <f t="shared" si="3"/>
        <v>2574</v>
      </c>
      <c r="J203" s="15">
        <f>Table1[[#This Row],[profit]]/Table1[[#This Row],[Revenue]]</f>
        <v>0.33008463708643243</v>
      </c>
      <c r="K203" s="1" t="s">
        <v>18</v>
      </c>
      <c r="L203" s="16">
        <f>MONTH(Table1[[#This Row],[OrderDate]])</f>
        <v>11</v>
      </c>
    </row>
    <row r="204" spans="1:12" x14ac:dyDescent="0.2">
      <c r="A204" s="1">
        <v>203</v>
      </c>
      <c r="B204" s="2">
        <v>46008</v>
      </c>
      <c r="C204" s="1" t="s">
        <v>17</v>
      </c>
      <c r="D204" s="1" t="s">
        <v>23</v>
      </c>
      <c r="E204" s="1" t="s">
        <v>24</v>
      </c>
      <c r="F204" s="1">
        <v>9</v>
      </c>
      <c r="G204" s="14">
        <v>8073</v>
      </c>
      <c r="H204" s="14">
        <v>6054</v>
      </c>
      <c r="I204" s="14">
        <f t="shared" si="3"/>
        <v>2019</v>
      </c>
      <c r="J204" s="15">
        <f>Table1[[#This Row],[profit]]/Table1[[#This Row],[Revenue]]</f>
        <v>0.2500929022668153</v>
      </c>
      <c r="K204" s="1" t="s">
        <v>21</v>
      </c>
      <c r="L204" s="16">
        <f>MONTH(Table1[[#This Row],[OrderDate]])</f>
        <v>12</v>
      </c>
    </row>
    <row r="205" spans="1:12" x14ac:dyDescent="0.2">
      <c r="A205" s="1">
        <v>204</v>
      </c>
      <c r="B205" s="2">
        <v>45962</v>
      </c>
      <c r="C205" s="1" t="s">
        <v>44</v>
      </c>
      <c r="D205" s="1" t="s">
        <v>10</v>
      </c>
      <c r="E205" s="1" t="s">
        <v>11</v>
      </c>
      <c r="F205" s="1">
        <v>6</v>
      </c>
      <c r="G205" s="14">
        <v>8148</v>
      </c>
      <c r="H205" s="14">
        <v>6273</v>
      </c>
      <c r="I205" s="14">
        <f t="shared" si="3"/>
        <v>1875</v>
      </c>
      <c r="J205" s="15">
        <f>Table1[[#This Row],[profit]]/Table1[[#This Row],[Revenue]]</f>
        <v>0.23011782032400588</v>
      </c>
      <c r="K205" s="1" t="s">
        <v>12</v>
      </c>
      <c r="L205" s="16">
        <f>MONTH(Table1[[#This Row],[OrderDate]])</f>
        <v>11</v>
      </c>
    </row>
    <row r="206" spans="1:12" x14ac:dyDescent="0.2">
      <c r="A206" s="1">
        <v>205</v>
      </c>
      <c r="B206" s="2">
        <v>45730</v>
      </c>
      <c r="C206" s="1" t="s">
        <v>54</v>
      </c>
      <c r="D206" s="1" t="s">
        <v>14</v>
      </c>
      <c r="E206" s="1" t="s">
        <v>15</v>
      </c>
      <c r="F206" s="1">
        <v>4</v>
      </c>
      <c r="G206" s="14">
        <v>5388</v>
      </c>
      <c r="H206" s="14">
        <v>4579</v>
      </c>
      <c r="I206" s="14">
        <f t="shared" si="3"/>
        <v>809</v>
      </c>
      <c r="J206" s="15">
        <f>Table1[[#This Row],[profit]]/Table1[[#This Row],[Revenue]]</f>
        <v>0.15014847809948031</v>
      </c>
      <c r="K206" s="1" t="s">
        <v>12</v>
      </c>
      <c r="L206" s="16">
        <f>MONTH(Table1[[#This Row],[OrderDate]])</f>
        <v>3</v>
      </c>
    </row>
    <row r="207" spans="1:12" x14ac:dyDescent="0.2">
      <c r="A207" s="1">
        <v>206</v>
      </c>
      <c r="B207" s="2">
        <v>45909</v>
      </c>
      <c r="C207" s="1" t="s">
        <v>54</v>
      </c>
      <c r="D207" s="1" t="s">
        <v>32</v>
      </c>
      <c r="E207" s="1" t="s">
        <v>24</v>
      </c>
      <c r="F207" s="1">
        <v>1</v>
      </c>
      <c r="G207" s="14">
        <v>468</v>
      </c>
      <c r="H207" s="14">
        <v>290</v>
      </c>
      <c r="I207" s="14">
        <f t="shared" si="3"/>
        <v>178</v>
      </c>
      <c r="J207" s="15">
        <f>Table1[[#This Row],[profit]]/Table1[[#This Row],[Revenue]]</f>
        <v>0.38034188034188032</v>
      </c>
      <c r="K207" s="1" t="s">
        <v>18</v>
      </c>
      <c r="L207" s="16">
        <f>MONTH(Table1[[#This Row],[OrderDate]])</f>
        <v>9</v>
      </c>
    </row>
    <row r="208" spans="1:12" x14ac:dyDescent="0.2">
      <c r="A208" s="1">
        <v>207</v>
      </c>
      <c r="B208" s="2">
        <v>45990</v>
      </c>
      <c r="C208" s="1" t="s">
        <v>49</v>
      </c>
      <c r="D208" s="1" t="s">
        <v>37</v>
      </c>
      <c r="E208" s="1" t="s">
        <v>24</v>
      </c>
      <c r="F208" s="1">
        <v>5</v>
      </c>
      <c r="G208" s="14">
        <v>4385</v>
      </c>
      <c r="H208" s="14">
        <v>2455</v>
      </c>
      <c r="I208" s="14">
        <f t="shared" si="3"/>
        <v>1930</v>
      </c>
      <c r="J208" s="15">
        <f>Table1[[#This Row],[profit]]/Table1[[#This Row],[Revenue]]</f>
        <v>0.44013683010262256</v>
      </c>
      <c r="K208" s="1" t="s">
        <v>12</v>
      </c>
      <c r="L208" s="16">
        <f>MONTH(Table1[[#This Row],[OrderDate]])</f>
        <v>11</v>
      </c>
    </row>
    <row r="209" spans="1:12" x14ac:dyDescent="0.2">
      <c r="A209" s="1">
        <v>208</v>
      </c>
      <c r="B209" s="2">
        <v>46009</v>
      </c>
      <c r="C209" s="1" t="s">
        <v>59</v>
      </c>
      <c r="D209" s="1" t="s">
        <v>32</v>
      </c>
      <c r="E209" s="1" t="s">
        <v>24</v>
      </c>
      <c r="F209" s="1">
        <v>4</v>
      </c>
      <c r="G209" s="14">
        <v>4844</v>
      </c>
      <c r="H209" s="14">
        <v>3487</v>
      </c>
      <c r="I209" s="14">
        <f t="shared" si="3"/>
        <v>1357</v>
      </c>
      <c r="J209" s="15">
        <f>Table1[[#This Row],[profit]]/Table1[[#This Row],[Revenue]]</f>
        <v>0.28014037985136253</v>
      </c>
      <c r="K209" s="1" t="s">
        <v>18</v>
      </c>
      <c r="L209" s="16">
        <f>MONTH(Table1[[#This Row],[OrderDate]])</f>
        <v>12</v>
      </c>
    </row>
    <row r="210" spans="1:12" x14ac:dyDescent="0.2">
      <c r="A210" s="1">
        <v>209</v>
      </c>
      <c r="B210" s="2">
        <v>45710</v>
      </c>
      <c r="C210" s="1" t="s">
        <v>53</v>
      </c>
      <c r="D210" s="1" t="s">
        <v>28</v>
      </c>
      <c r="E210" s="1" t="s">
        <v>15</v>
      </c>
      <c r="F210" s="1">
        <v>6</v>
      </c>
      <c r="G210" s="14">
        <v>7236</v>
      </c>
      <c r="H210" s="14">
        <v>4196</v>
      </c>
      <c r="I210" s="14">
        <f t="shared" si="3"/>
        <v>3040</v>
      </c>
      <c r="J210" s="15">
        <f>Table1[[#This Row],[profit]]/Table1[[#This Row],[Revenue]]</f>
        <v>0.42012161415146487</v>
      </c>
      <c r="K210" s="1" t="s">
        <v>16</v>
      </c>
      <c r="L210" s="16">
        <f>MONTH(Table1[[#This Row],[OrderDate]])</f>
        <v>2</v>
      </c>
    </row>
    <row r="211" spans="1:12" x14ac:dyDescent="0.2">
      <c r="A211" s="1">
        <v>210</v>
      </c>
      <c r="B211" s="2">
        <v>45689</v>
      </c>
      <c r="C211" s="1" t="s">
        <v>49</v>
      </c>
      <c r="D211" s="1" t="s">
        <v>23</v>
      </c>
      <c r="E211" s="1" t="s">
        <v>24</v>
      </c>
      <c r="F211" s="1">
        <v>7</v>
      </c>
      <c r="G211" s="14">
        <v>13139</v>
      </c>
      <c r="H211" s="14">
        <v>9328</v>
      </c>
      <c r="I211" s="14">
        <f t="shared" si="3"/>
        <v>3811</v>
      </c>
      <c r="J211" s="15">
        <f>Table1[[#This Row],[profit]]/Table1[[#This Row],[Revenue]]</f>
        <v>0.29005251541213184</v>
      </c>
      <c r="K211" s="1" t="s">
        <v>12</v>
      </c>
      <c r="L211" s="16">
        <f>MONTH(Table1[[#This Row],[OrderDate]])</f>
        <v>2</v>
      </c>
    </row>
    <row r="212" spans="1:12" x14ac:dyDescent="0.2">
      <c r="A212" s="1">
        <v>211</v>
      </c>
      <c r="B212" s="2">
        <v>45883</v>
      </c>
      <c r="C212" s="1" t="s">
        <v>40</v>
      </c>
      <c r="D212" s="1" t="s">
        <v>37</v>
      </c>
      <c r="E212" s="1" t="s">
        <v>24</v>
      </c>
      <c r="F212" s="1">
        <v>9</v>
      </c>
      <c r="G212" s="14">
        <v>7119</v>
      </c>
      <c r="H212" s="14">
        <v>5766</v>
      </c>
      <c r="I212" s="14">
        <f t="shared" si="3"/>
        <v>1353</v>
      </c>
      <c r="J212" s="15">
        <f>Table1[[#This Row],[profit]]/Table1[[#This Row],[Revenue]]</f>
        <v>0.19005478297513695</v>
      </c>
      <c r="K212" s="1" t="s">
        <v>21</v>
      </c>
      <c r="L212" s="16">
        <f>MONTH(Table1[[#This Row],[OrderDate]])</f>
        <v>8</v>
      </c>
    </row>
    <row r="213" spans="1:12" x14ac:dyDescent="0.2">
      <c r="A213" s="1">
        <v>212</v>
      </c>
      <c r="B213" s="2">
        <v>45931</v>
      </c>
      <c r="C213" s="1" t="s">
        <v>30</v>
      </c>
      <c r="D213" s="1" t="s">
        <v>10</v>
      </c>
      <c r="E213" s="1" t="s">
        <v>11</v>
      </c>
      <c r="F213" s="1">
        <v>6</v>
      </c>
      <c r="G213" s="14">
        <v>11040</v>
      </c>
      <c r="H213" s="14">
        <v>9384</v>
      </c>
      <c r="I213" s="14">
        <f t="shared" si="3"/>
        <v>1656</v>
      </c>
      <c r="J213" s="15">
        <f>Table1[[#This Row],[profit]]/Table1[[#This Row],[Revenue]]</f>
        <v>0.15</v>
      </c>
      <c r="K213" s="1" t="s">
        <v>12</v>
      </c>
      <c r="L213" s="16">
        <f>MONTH(Table1[[#This Row],[OrderDate]])</f>
        <v>10</v>
      </c>
    </row>
    <row r="214" spans="1:12" x14ac:dyDescent="0.2">
      <c r="A214" s="1">
        <v>213</v>
      </c>
      <c r="B214" s="2">
        <v>45784</v>
      </c>
      <c r="C214" s="1" t="s">
        <v>31</v>
      </c>
      <c r="D214" s="1" t="s">
        <v>14</v>
      </c>
      <c r="E214" s="1" t="s">
        <v>15</v>
      </c>
      <c r="F214" s="1">
        <v>7</v>
      </c>
      <c r="G214" s="14">
        <v>924</v>
      </c>
      <c r="H214" s="14">
        <v>554</v>
      </c>
      <c r="I214" s="14">
        <f t="shared" si="3"/>
        <v>370</v>
      </c>
      <c r="J214" s="15">
        <f>Table1[[#This Row],[profit]]/Table1[[#This Row],[Revenue]]</f>
        <v>0.40043290043290042</v>
      </c>
      <c r="K214" s="1" t="s">
        <v>18</v>
      </c>
      <c r="L214" s="16">
        <f>MONTH(Table1[[#This Row],[OrderDate]])</f>
        <v>5</v>
      </c>
    </row>
    <row r="215" spans="1:12" x14ac:dyDescent="0.2">
      <c r="A215" s="1">
        <v>214</v>
      </c>
      <c r="B215" s="2">
        <v>45955</v>
      </c>
      <c r="C215" s="1" t="s">
        <v>31</v>
      </c>
      <c r="D215" s="1" t="s">
        <v>14</v>
      </c>
      <c r="E215" s="1" t="s">
        <v>15</v>
      </c>
      <c r="F215" s="1">
        <v>1</v>
      </c>
      <c r="G215" s="14">
        <v>1988</v>
      </c>
      <c r="H215" s="14">
        <v>1312</v>
      </c>
      <c r="I215" s="14">
        <f t="shared" si="3"/>
        <v>676</v>
      </c>
      <c r="J215" s="15">
        <f>Table1[[#This Row],[profit]]/Table1[[#This Row],[Revenue]]</f>
        <v>0.34004024144869216</v>
      </c>
      <c r="K215" s="1" t="s">
        <v>21</v>
      </c>
      <c r="L215" s="16">
        <f>MONTH(Table1[[#This Row],[OrderDate]])</f>
        <v>10</v>
      </c>
    </row>
    <row r="216" spans="1:12" x14ac:dyDescent="0.2">
      <c r="A216" s="1">
        <v>215</v>
      </c>
      <c r="B216" s="2">
        <v>45889</v>
      </c>
      <c r="C216" s="1" t="s">
        <v>13</v>
      </c>
      <c r="D216" s="1" t="s">
        <v>10</v>
      </c>
      <c r="E216" s="1" t="s">
        <v>11</v>
      </c>
      <c r="F216" s="1">
        <v>5</v>
      </c>
      <c r="G216" s="14">
        <v>2985</v>
      </c>
      <c r="H216" s="14">
        <v>2447</v>
      </c>
      <c r="I216" s="14">
        <f t="shared" si="3"/>
        <v>538</v>
      </c>
      <c r="J216" s="15">
        <f>Table1[[#This Row],[profit]]/Table1[[#This Row],[Revenue]]</f>
        <v>0.18023450586264655</v>
      </c>
      <c r="K216" s="1" t="s">
        <v>21</v>
      </c>
      <c r="L216" s="16">
        <f>MONTH(Table1[[#This Row],[OrderDate]])</f>
        <v>8</v>
      </c>
    </row>
    <row r="217" spans="1:12" x14ac:dyDescent="0.2">
      <c r="A217" s="1">
        <v>216</v>
      </c>
      <c r="B217" s="2">
        <v>45787</v>
      </c>
      <c r="C217" s="1" t="s">
        <v>57</v>
      </c>
      <c r="D217" s="1" t="s">
        <v>39</v>
      </c>
      <c r="E217" s="1" t="s">
        <v>11</v>
      </c>
      <c r="F217" s="1">
        <v>7</v>
      </c>
      <c r="G217" s="14">
        <v>9471</v>
      </c>
      <c r="H217" s="14">
        <v>5587</v>
      </c>
      <c r="I217" s="14">
        <f t="shared" si="3"/>
        <v>3884</v>
      </c>
      <c r="J217" s="15">
        <f>Table1[[#This Row],[profit]]/Table1[[#This Row],[Revenue]]</f>
        <v>0.41009397106958084</v>
      </c>
      <c r="K217" s="1" t="s">
        <v>12</v>
      </c>
      <c r="L217" s="16">
        <f>MONTH(Table1[[#This Row],[OrderDate]])</f>
        <v>5</v>
      </c>
    </row>
    <row r="218" spans="1:12" x14ac:dyDescent="0.2">
      <c r="A218" s="1">
        <v>217</v>
      </c>
      <c r="B218" s="2">
        <v>45896</v>
      </c>
      <c r="C218" s="1" t="s">
        <v>57</v>
      </c>
      <c r="D218" s="1" t="s">
        <v>37</v>
      </c>
      <c r="E218" s="1" t="s">
        <v>24</v>
      </c>
      <c r="F218" s="1">
        <v>1</v>
      </c>
      <c r="G218" s="14">
        <v>1346</v>
      </c>
      <c r="H218" s="14">
        <v>1063</v>
      </c>
      <c r="I218" s="14">
        <f t="shared" si="3"/>
        <v>283</v>
      </c>
      <c r="J218" s="15">
        <f>Table1[[#This Row],[profit]]/Table1[[#This Row],[Revenue]]</f>
        <v>0.21025260029717682</v>
      </c>
      <c r="K218" s="1" t="s">
        <v>18</v>
      </c>
      <c r="L218" s="16">
        <f>MONTH(Table1[[#This Row],[OrderDate]])</f>
        <v>8</v>
      </c>
    </row>
    <row r="219" spans="1:12" x14ac:dyDescent="0.2">
      <c r="A219" s="1">
        <v>218</v>
      </c>
      <c r="B219" s="2">
        <v>45781</v>
      </c>
      <c r="C219" s="1" t="s">
        <v>54</v>
      </c>
      <c r="D219" s="1" t="s">
        <v>10</v>
      </c>
      <c r="E219" s="1" t="s">
        <v>11</v>
      </c>
      <c r="F219" s="1">
        <v>6</v>
      </c>
      <c r="G219" s="14">
        <v>828</v>
      </c>
      <c r="H219" s="14">
        <v>521</v>
      </c>
      <c r="I219" s="14">
        <f t="shared" si="3"/>
        <v>307</v>
      </c>
      <c r="J219" s="15">
        <f>Table1[[#This Row],[profit]]/Table1[[#This Row],[Revenue]]</f>
        <v>0.37077294685990336</v>
      </c>
      <c r="K219" s="1" t="s">
        <v>21</v>
      </c>
      <c r="L219" s="16">
        <f>MONTH(Table1[[#This Row],[OrderDate]])</f>
        <v>5</v>
      </c>
    </row>
    <row r="220" spans="1:12" x14ac:dyDescent="0.2">
      <c r="A220" s="1">
        <v>219</v>
      </c>
      <c r="B220" s="2">
        <v>45697</v>
      </c>
      <c r="C220" s="1" t="s">
        <v>30</v>
      </c>
      <c r="D220" s="1" t="s">
        <v>23</v>
      </c>
      <c r="E220" s="1" t="s">
        <v>24</v>
      </c>
      <c r="F220" s="1">
        <v>2</v>
      </c>
      <c r="G220" s="14">
        <v>2576</v>
      </c>
      <c r="H220" s="14">
        <v>1828</v>
      </c>
      <c r="I220" s="14">
        <f t="shared" si="3"/>
        <v>748</v>
      </c>
      <c r="J220" s="15">
        <f>Table1[[#This Row],[profit]]/Table1[[#This Row],[Revenue]]</f>
        <v>0.29037267080745344</v>
      </c>
      <c r="K220" s="1" t="s">
        <v>16</v>
      </c>
      <c r="L220" s="16">
        <f>MONTH(Table1[[#This Row],[OrderDate]])</f>
        <v>2</v>
      </c>
    </row>
    <row r="221" spans="1:12" x14ac:dyDescent="0.2">
      <c r="A221" s="1">
        <v>220</v>
      </c>
      <c r="B221" s="2">
        <v>45693</v>
      </c>
      <c r="C221" s="1" t="s">
        <v>27</v>
      </c>
      <c r="D221" s="1" t="s">
        <v>37</v>
      </c>
      <c r="E221" s="1" t="s">
        <v>24</v>
      </c>
      <c r="F221" s="1">
        <v>3</v>
      </c>
      <c r="G221" s="14">
        <v>2217</v>
      </c>
      <c r="H221" s="14">
        <v>1596</v>
      </c>
      <c r="I221" s="14">
        <f t="shared" si="3"/>
        <v>621</v>
      </c>
      <c r="J221" s="15">
        <f>Table1[[#This Row],[profit]]/Table1[[#This Row],[Revenue]]</f>
        <v>0.28010825439783493</v>
      </c>
      <c r="K221" s="1" t="s">
        <v>21</v>
      </c>
      <c r="L221" s="16">
        <f>MONTH(Table1[[#This Row],[OrderDate]])</f>
        <v>2</v>
      </c>
    </row>
    <row r="222" spans="1:12" x14ac:dyDescent="0.2">
      <c r="A222" s="1">
        <v>221</v>
      </c>
      <c r="B222" s="2">
        <v>45738</v>
      </c>
      <c r="C222" s="1" t="s">
        <v>38</v>
      </c>
      <c r="D222" s="1" t="s">
        <v>23</v>
      </c>
      <c r="E222" s="1" t="s">
        <v>24</v>
      </c>
      <c r="F222" s="1">
        <v>4</v>
      </c>
      <c r="G222" s="14">
        <v>7080</v>
      </c>
      <c r="H222" s="14">
        <v>5522</v>
      </c>
      <c r="I222" s="14">
        <f t="shared" si="3"/>
        <v>1558</v>
      </c>
      <c r="J222" s="15">
        <f>Table1[[#This Row],[profit]]/Table1[[#This Row],[Revenue]]</f>
        <v>0.22005649717514125</v>
      </c>
      <c r="K222" s="1" t="s">
        <v>12</v>
      </c>
      <c r="L222" s="16">
        <f>MONTH(Table1[[#This Row],[OrderDate]])</f>
        <v>3</v>
      </c>
    </row>
    <row r="223" spans="1:12" x14ac:dyDescent="0.2">
      <c r="A223" s="1">
        <v>222</v>
      </c>
      <c r="B223" s="2">
        <v>45811</v>
      </c>
      <c r="C223" s="1" t="s">
        <v>50</v>
      </c>
      <c r="D223" s="1" t="s">
        <v>14</v>
      </c>
      <c r="E223" s="1" t="s">
        <v>15</v>
      </c>
      <c r="F223" s="1">
        <v>4</v>
      </c>
      <c r="G223" s="14">
        <v>5224</v>
      </c>
      <c r="H223" s="14">
        <v>3395</v>
      </c>
      <c r="I223" s="14">
        <f t="shared" si="3"/>
        <v>1829</v>
      </c>
      <c r="J223" s="15">
        <f>Table1[[#This Row],[profit]]/Table1[[#This Row],[Revenue]]</f>
        <v>0.35011485451761104</v>
      </c>
      <c r="K223" s="1" t="s">
        <v>21</v>
      </c>
      <c r="L223" s="16">
        <f>MONTH(Table1[[#This Row],[OrderDate]])</f>
        <v>6</v>
      </c>
    </row>
    <row r="224" spans="1:12" x14ac:dyDescent="0.2">
      <c r="A224" s="1">
        <v>223</v>
      </c>
      <c r="B224" s="2">
        <v>46007</v>
      </c>
      <c r="C224" s="1" t="s">
        <v>17</v>
      </c>
      <c r="D224" s="1" t="s">
        <v>37</v>
      </c>
      <c r="E224" s="1" t="s">
        <v>24</v>
      </c>
      <c r="F224" s="1">
        <v>3</v>
      </c>
      <c r="G224" s="14">
        <v>3531</v>
      </c>
      <c r="H224" s="14">
        <v>3001</v>
      </c>
      <c r="I224" s="14">
        <f t="shared" si="3"/>
        <v>530</v>
      </c>
      <c r="J224" s="15">
        <f>Table1[[#This Row],[profit]]/Table1[[#This Row],[Revenue]]</f>
        <v>0.15009912206173889</v>
      </c>
      <c r="K224" s="1" t="s">
        <v>18</v>
      </c>
      <c r="L224" s="16">
        <f>MONTH(Table1[[#This Row],[OrderDate]])</f>
        <v>12</v>
      </c>
    </row>
    <row r="225" spans="1:12" x14ac:dyDescent="0.2">
      <c r="A225" s="1">
        <v>224</v>
      </c>
      <c r="B225" s="2">
        <v>45861</v>
      </c>
      <c r="C225" s="1" t="s">
        <v>35</v>
      </c>
      <c r="D225" s="1" t="s">
        <v>10</v>
      </c>
      <c r="E225" s="1" t="s">
        <v>11</v>
      </c>
      <c r="F225" s="1">
        <v>6</v>
      </c>
      <c r="G225" s="14">
        <v>1398</v>
      </c>
      <c r="H225" s="14">
        <v>768</v>
      </c>
      <c r="I225" s="14">
        <f t="shared" si="3"/>
        <v>630</v>
      </c>
      <c r="J225" s="15">
        <f>Table1[[#This Row],[profit]]/Table1[[#This Row],[Revenue]]</f>
        <v>0.45064377682403434</v>
      </c>
      <c r="K225" s="1" t="s">
        <v>16</v>
      </c>
      <c r="L225" s="16">
        <f>MONTH(Table1[[#This Row],[OrderDate]])</f>
        <v>7</v>
      </c>
    </row>
    <row r="226" spans="1:12" x14ac:dyDescent="0.2">
      <c r="A226" s="1">
        <v>225</v>
      </c>
      <c r="B226" s="2">
        <v>45702</v>
      </c>
      <c r="C226" s="1" t="s">
        <v>60</v>
      </c>
      <c r="D226" s="1" t="s">
        <v>39</v>
      </c>
      <c r="E226" s="1" t="s">
        <v>11</v>
      </c>
      <c r="F226" s="1">
        <v>3</v>
      </c>
      <c r="G226" s="14">
        <v>5829</v>
      </c>
      <c r="H226" s="14">
        <v>4138</v>
      </c>
      <c r="I226" s="14">
        <f t="shared" si="3"/>
        <v>1691</v>
      </c>
      <c r="J226" s="15">
        <f>Table1[[#This Row],[profit]]/Table1[[#This Row],[Revenue]]</f>
        <v>0.29010121804769257</v>
      </c>
      <c r="K226" s="1" t="s">
        <v>12</v>
      </c>
      <c r="L226" s="16">
        <f>MONTH(Table1[[#This Row],[OrderDate]])</f>
        <v>2</v>
      </c>
    </row>
    <row r="227" spans="1:12" x14ac:dyDescent="0.2">
      <c r="A227" s="1">
        <v>226</v>
      </c>
      <c r="B227" s="2">
        <v>45901</v>
      </c>
      <c r="C227" s="1" t="s">
        <v>43</v>
      </c>
      <c r="D227" s="1" t="s">
        <v>10</v>
      </c>
      <c r="E227" s="1" t="s">
        <v>11</v>
      </c>
      <c r="F227" s="1">
        <v>9</v>
      </c>
      <c r="G227" s="14">
        <v>8793</v>
      </c>
      <c r="H227" s="14">
        <v>5979</v>
      </c>
      <c r="I227" s="14">
        <f t="shared" si="3"/>
        <v>2814</v>
      </c>
      <c r="J227" s="15">
        <f>Table1[[#This Row],[profit]]/Table1[[#This Row],[Revenue]]</f>
        <v>0.3200272944387581</v>
      </c>
      <c r="K227" s="1" t="s">
        <v>18</v>
      </c>
      <c r="L227" s="16">
        <f>MONTH(Table1[[#This Row],[OrderDate]])</f>
        <v>9</v>
      </c>
    </row>
    <row r="228" spans="1:12" x14ac:dyDescent="0.2">
      <c r="A228" s="1">
        <v>227</v>
      </c>
      <c r="B228" s="2">
        <v>45806</v>
      </c>
      <c r="C228" s="1" t="s">
        <v>30</v>
      </c>
      <c r="D228" s="1" t="s">
        <v>10</v>
      </c>
      <c r="E228" s="1" t="s">
        <v>11</v>
      </c>
      <c r="F228" s="1">
        <v>4</v>
      </c>
      <c r="G228" s="14">
        <v>6540</v>
      </c>
      <c r="H228" s="14">
        <v>5166</v>
      </c>
      <c r="I228" s="14">
        <f t="shared" si="3"/>
        <v>1374</v>
      </c>
      <c r="J228" s="15">
        <f>Table1[[#This Row],[profit]]/Table1[[#This Row],[Revenue]]</f>
        <v>0.21009174311926607</v>
      </c>
      <c r="K228" s="1" t="s">
        <v>16</v>
      </c>
      <c r="L228" s="16">
        <f>MONTH(Table1[[#This Row],[OrderDate]])</f>
        <v>5</v>
      </c>
    </row>
    <row r="229" spans="1:12" x14ac:dyDescent="0.2">
      <c r="A229" s="1">
        <v>228</v>
      </c>
      <c r="B229" s="2">
        <v>45808</v>
      </c>
      <c r="C229" s="1" t="s">
        <v>54</v>
      </c>
      <c r="D229" s="1" t="s">
        <v>37</v>
      </c>
      <c r="E229" s="1" t="s">
        <v>24</v>
      </c>
      <c r="F229" s="1">
        <v>2</v>
      </c>
      <c r="G229" s="14">
        <v>2022</v>
      </c>
      <c r="H229" s="14">
        <v>1233</v>
      </c>
      <c r="I229" s="14">
        <f t="shared" si="3"/>
        <v>789</v>
      </c>
      <c r="J229" s="15">
        <f>Table1[[#This Row],[profit]]/Table1[[#This Row],[Revenue]]</f>
        <v>0.39020771513353114</v>
      </c>
      <c r="K229" s="1" t="s">
        <v>18</v>
      </c>
      <c r="L229" s="16">
        <f>MONTH(Table1[[#This Row],[OrderDate]])</f>
        <v>5</v>
      </c>
    </row>
    <row r="230" spans="1:12" x14ac:dyDescent="0.2">
      <c r="A230" s="1">
        <v>229</v>
      </c>
      <c r="B230" s="2">
        <v>45828</v>
      </c>
      <c r="C230" s="1" t="s">
        <v>63</v>
      </c>
      <c r="D230" s="1" t="s">
        <v>23</v>
      </c>
      <c r="E230" s="1" t="s">
        <v>24</v>
      </c>
      <c r="F230" s="1">
        <v>5</v>
      </c>
      <c r="G230" s="14">
        <v>7705</v>
      </c>
      <c r="H230" s="14">
        <v>6472</v>
      </c>
      <c r="I230" s="14">
        <f t="shared" si="3"/>
        <v>1233</v>
      </c>
      <c r="J230" s="15">
        <f>Table1[[#This Row],[profit]]/Table1[[#This Row],[Revenue]]</f>
        <v>0.16002595717066839</v>
      </c>
      <c r="K230" s="1" t="s">
        <v>21</v>
      </c>
      <c r="L230" s="16">
        <f>MONTH(Table1[[#This Row],[OrderDate]])</f>
        <v>6</v>
      </c>
    </row>
    <row r="231" spans="1:12" x14ac:dyDescent="0.2">
      <c r="A231" s="1">
        <v>230</v>
      </c>
      <c r="B231" s="2">
        <v>45937</v>
      </c>
      <c r="C231" s="1" t="s">
        <v>57</v>
      </c>
      <c r="D231" s="1" t="s">
        <v>28</v>
      </c>
      <c r="E231" s="1" t="s">
        <v>15</v>
      </c>
      <c r="F231" s="1">
        <v>1</v>
      </c>
      <c r="G231" s="14">
        <v>1973</v>
      </c>
      <c r="H231" s="14">
        <v>1085</v>
      </c>
      <c r="I231" s="14">
        <f t="shared" si="3"/>
        <v>888</v>
      </c>
      <c r="J231" s="15">
        <f>Table1[[#This Row],[profit]]/Table1[[#This Row],[Revenue]]</f>
        <v>0.45007602635580335</v>
      </c>
      <c r="K231" s="1" t="s">
        <v>18</v>
      </c>
      <c r="L231" s="16">
        <f>MONTH(Table1[[#This Row],[OrderDate]])</f>
        <v>10</v>
      </c>
    </row>
    <row r="232" spans="1:12" x14ac:dyDescent="0.2">
      <c r="A232" s="1">
        <v>231</v>
      </c>
      <c r="B232" s="2">
        <v>45800</v>
      </c>
      <c r="C232" s="1" t="s">
        <v>40</v>
      </c>
      <c r="D232" s="1" t="s">
        <v>14</v>
      </c>
      <c r="E232" s="1" t="s">
        <v>15</v>
      </c>
      <c r="F232" s="1">
        <v>9</v>
      </c>
      <c r="G232" s="14">
        <v>9747</v>
      </c>
      <c r="H232" s="14">
        <v>7602</v>
      </c>
      <c r="I232" s="14">
        <f t="shared" si="3"/>
        <v>2145</v>
      </c>
      <c r="J232" s="15">
        <f>Table1[[#This Row],[profit]]/Table1[[#This Row],[Revenue]]</f>
        <v>0.22006771314250539</v>
      </c>
      <c r="K232" s="1" t="s">
        <v>12</v>
      </c>
      <c r="L232" s="16">
        <f>MONTH(Table1[[#This Row],[OrderDate]])</f>
        <v>5</v>
      </c>
    </row>
    <row r="233" spans="1:12" x14ac:dyDescent="0.2">
      <c r="A233" s="1">
        <v>232</v>
      </c>
      <c r="B233" s="2">
        <v>45886</v>
      </c>
      <c r="C233" s="1" t="s">
        <v>34</v>
      </c>
      <c r="D233" s="1" t="s">
        <v>14</v>
      </c>
      <c r="E233" s="1" t="s">
        <v>15</v>
      </c>
      <c r="F233" s="1">
        <v>9</v>
      </c>
      <c r="G233" s="14">
        <v>2349</v>
      </c>
      <c r="H233" s="14">
        <v>1926</v>
      </c>
      <c r="I233" s="14">
        <f t="shared" si="3"/>
        <v>423</v>
      </c>
      <c r="J233" s="15">
        <f>Table1[[#This Row],[profit]]/Table1[[#This Row],[Revenue]]</f>
        <v>0.18007662835249041</v>
      </c>
      <c r="K233" s="1" t="s">
        <v>21</v>
      </c>
      <c r="L233" s="16">
        <f>MONTH(Table1[[#This Row],[OrderDate]])</f>
        <v>8</v>
      </c>
    </row>
    <row r="234" spans="1:12" x14ac:dyDescent="0.2">
      <c r="A234" s="1">
        <v>233</v>
      </c>
      <c r="B234" s="2">
        <v>45920</v>
      </c>
      <c r="C234" s="1" t="s">
        <v>45</v>
      </c>
      <c r="D234" s="1" t="s">
        <v>20</v>
      </c>
      <c r="E234" s="1" t="s">
        <v>11</v>
      </c>
      <c r="F234" s="1">
        <v>10</v>
      </c>
      <c r="G234" s="14">
        <v>14190</v>
      </c>
      <c r="H234" s="14">
        <v>10074</v>
      </c>
      <c r="I234" s="14">
        <f t="shared" si="3"/>
        <v>4116</v>
      </c>
      <c r="J234" s="15">
        <f>Table1[[#This Row],[profit]]/Table1[[#This Row],[Revenue]]</f>
        <v>0.29006342494714588</v>
      </c>
      <c r="K234" s="1" t="s">
        <v>18</v>
      </c>
      <c r="L234" s="16">
        <f>MONTH(Table1[[#This Row],[OrderDate]])</f>
        <v>9</v>
      </c>
    </row>
    <row r="235" spans="1:12" x14ac:dyDescent="0.2">
      <c r="A235" s="1">
        <v>234</v>
      </c>
      <c r="B235" s="2">
        <v>45747</v>
      </c>
      <c r="C235" s="1" t="s">
        <v>25</v>
      </c>
      <c r="D235" s="1" t="s">
        <v>39</v>
      </c>
      <c r="E235" s="1" t="s">
        <v>11</v>
      </c>
      <c r="F235" s="1">
        <v>9</v>
      </c>
      <c r="G235" s="14">
        <v>12978</v>
      </c>
      <c r="H235" s="14">
        <v>7267</v>
      </c>
      <c r="I235" s="14">
        <f t="shared" si="3"/>
        <v>5711</v>
      </c>
      <c r="J235" s="15">
        <f>Table1[[#This Row],[profit]]/Table1[[#This Row],[Revenue]]</f>
        <v>0.44005239636307597</v>
      </c>
      <c r="K235" s="1" t="s">
        <v>12</v>
      </c>
      <c r="L235" s="16">
        <f>MONTH(Table1[[#This Row],[OrderDate]])</f>
        <v>3</v>
      </c>
    </row>
    <row r="236" spans="1:12" x14ac:dyDescent="0.2">
      <c r="A236" s="1">
        <v>235</v>
      </c>
      <c r="B236" s="2">
        <v>45759</v>
      </c>
      <c r="C236" s="1" t="s">
        <v>27</v>
      </c>
      <c r="D236" s="1" t="s">
        <v>37</v>
      </c>
      <c r="E236" s="1" t="s">
        <v>24</v>
      </c>
      <c r="F236" s="1">
        <v>4</v>
      </c>
      <c r="G236" s="14">
        <v>1844</v>
      </c>
      <c r="H236" s="14">
        <v>1567</v>
      </c>
      <c r="I236" s="14">
        <f t="shared" si="3"/>
        <v>277</v>
      </c>
      <c r="J236" s="15">
        <f>Table1[[#This Row],[profit]]/Table1[[#This Row],[Revenue]]</f>
        <v>0.15021691973969631</v>
      </c>
      <c r="K236" s="1" t="s">
        <v>21</v>
      </c>
      <c r="L236" s="16">
        <f>MONTH(Table1[[#This Row],[OrderDate]])</f>
        <v>4</v>
      </c>
    </row>
    <row r="237" spans="1:12" x14ac:dyDescent="0.2">
      <c r="A237" s="1">
        <v>236</v>
      </c>
      <c r="B237" s="2">
        <v>45761</v>
      </c>
      <c r="C237" s="1" t="s">
        <v>47</v>
      </c>
      <c r="D237" s="1" t="s">
        <v>20</v>
      </c>
      <c r="E237" s="1" t="s">
        <v>11</v>
      </c>
      <c r="F237" s="1">
        <v>4</v>
      </c>
      <c r="G237" s="14">
        <v>3592</v>
      </c>
      <c r="H237" s="14">
        <v>2658</v>
      </c>
      <c r="I237" s="14">
        <f t="shared" si="3"/>
        <v>934</v>
      </c>
      <c r="J237" s="15">
        <f>Table1[[#This Row],[profit]]/Table1[[#This Row],[Revenue]]</f>
        <v>0.26002227171492204</v>
      </c>
      <c r="K237" s="1" t="s">
        <v>16</v>
      </c>
      <c r="L237" s="16">
        <f>MONTH(Table1[[#This Row],[OrderDate]])</f>
        <v>4</v>
      </c>
    </row>
    <row r="238" spans="1:12" x14ac:dyDescent="0.2">
      <c r="A238" s="1">
        <v>237</v>
      </c>
      <c r="B238" s="2">
        <v>45910</v>
      </c>
      <c r="C238" s="1" t="s">
        <v>41</v>
      </c>
      <c r="D238" s="1" t="s">
        <v>23</v>
      </c>
      <c r="E238" s="1" t="s">
        <v>24</v>
      </c>
      <c r="F238" s="1">
        <v>3</v>
      </c>
      <c r="G238" s="14">
        <v>1458</v>
      </c>
      <c r="H238" s="14">
        <v>1064</v>
      </c>
      <c r="I238" s="14">
        <f t="shared" si="3"/>
        <v>394</v>
      </c>
      <c r="J238" s="15">
        <f>Table1[[#This Row],[profit]]/Table1[[#This Row],[Revenue]]</f>
        <v>0.27023319615912206</v>
      </c>
      <c r="K238" s="1" t="s">
        <v>21</v>
      </c>
      <c r="L238" s="16">
        <f>MONTH(Table1[[#This Row],[OrderDate]])</f>
        <v>9</v>
      </c>
    </row>
    <row r="239" spans="1:12" x14ac:dyDescent="0.2">
      <c r="A239" s="1">
        <v>238</v>
      </c>
      <c r="B239" s="2">
        <v>45722</v>
      </c>
      <c r="C239" s="1" t="s">
        <v>25</v>
      </c>
      <c r="D239" s="1" t="s">
        <v>20</v>
      </c>
      <c r="E239" s="1" t="s">
        <v>11</v>
      </c>
      <c r="F239" s="1">
        <v>4</v>
      </c>
      <c r="G239" s="14">
        <v>4388</v>
      </c>
      <c r="H239" s="14">
        <v>3378</v>
      </c>
      <c r="I239" s="14">
        <f t="shared" si="3"/>
        <v>1010</v>
      </c>
      <c r="J239" s="15">
        <f>Table1[[#This Row],[profit]]/Table1[[#This Row],[Revenue]]</f>
        <v>0.2301731996353692</v>
      </c>
      <c r="K239" s="1" t="s">
        <v>18</v>
      </c>
      <c r="L239" s="16">
        <f>MONTH(Table1[[#This Row],[OrderDate]])</f>
        <v>3</v>
      </c>
    </row>
    <row r="240" spans="1:12" x14ac:dyDescent="0.2">
      <c r="A240" s="1">
        <v>239</v>
      </c>
      <c r="B240" s="2">
        <v>46017</v>
      </c>
      <c r="C240" s="1" t="s">
        <v>19</v>
      </c>
      <c r="D240" s="1" t="s">
        <v>23</v>
      </c>
      <c r="E240" s="1" t="s">
        <v>24</v>
      </c>
      <c r="F240" s="1">
        <v>2</v>
      </c>
      <c r="G240" s="14">
        <v>2246</v>
      </c>
      <c r="H240" s="14">
        <v>1864</v>
      </c>
      <c r="I240" s="14">
        <f t="shared" si="3"/>
        <v>382</v>
      </c>
      <c r="J240" s="15">
        <f>Table1[[#This Row],[profit]]/Table1[[#This Row],[Revenue]]</f>
        <v>0.17008014247551201</v>
      </c>
      <c r="K240" s="1" t="s">
        <v>16</v>
      </c>
      <c r="L240" s="16">
        <f>MONTH(Table1[[#This Row],[OrderDate]])</f>
        <v>12</v>
      </c>
    </row>
    <row r="241" spans="1:12" x14ac:dyDescent="0.2">
      <c r="A241" s="1">
        <v>240</v>
      </c>
      <c r="B241" s="2">
        <v>45877</v>
      </c>
      <c r="C241" s="1" t="s">
        <v>62</v>
      </c>
      <c r="D241" s="1" t="s">
        <v>39</v>
      </c>
      <c r="E241" s="1" t="s">
        <v>11</v>
      </c>
      <c r="F241" s="1">
        <v>5</v>
      </c>
      <c r="G241" s="14">
        <v>4580</v>
      </c>
      <c r="H241" s="14">
        <v>3389</v>
      </c>
      <c r="I241" s="14">
        <f t="shared" si="3"/>
        <v>1191</v>
      </c>
      <c r="J241" s="15">
        <f>Table1[[#This Row],[profit]]/Table1[[#This Row],[Revenue]]</f>
        <v>0.26004366812227075</v>
      </c>
      <c r="K241" s="1" t="s">
        <v>21</v>
      </c>
      <c r="L241" s="16">
        <f>MONTH(Table1[[#This Row],[OrderDate]])</f>
        <v>8</v>
      </c>
    </row>
    <row r="242" spans="1:12" x14ac:dyDescent="0.2">
      <c r="A242" s="1">
        <v>241</v>
      </c>
      <c r="B242" s="2">
        <v>45749</v>
      </c>
      <c r="C242" s="1" t="s">
        <v>30</v>
      </c>
      <c r="D242" s="1" t="s">
        <v>10</v>
      </c>
      <c r="E242" s="1" t="s">
        <v>11</v>
      </c>
      <c r="F242" s="1">
        <v>3</v>
      </c>
      <c r="G242" s="14">
        <v>636</v>
      </c>
      <c r="H242" s="14">
        <v>470</v>
      </c>
      <c r="I242" s="14">
        <f t="shared" si="3"/>
        <v>166</v>
      </c>
      <c r="J242" s="15">
        <f>Table1[[#This Row],[profit]]/Table1[[#This Row],[Revenue]]</f>
        <v>0.2610062893081761</v>
      </c>
      <c r="K242" s="1" t="s">
        <v>12</v>
      </c>
      <c r="L242" s="16">
        <f>MONTH(Table1[[#This Row],[OrderDate]])</f>
        <v>4</v>
      </c>
    </row>
    <row r="243" spans="1:12" x14ac:dyDescent="0.2">
      <c r="A243" s="1">
        <v>242</v>
      </c>
      <c r="B243" s="2">
        <v>45838</v>
      </c>
      <c r="C243" s="1" t="s">
        <v>50</v>
      </c>
      <c r="D243" s="1" t="s">
        <v>32</v>
      </c>
      <c r="E243" s="1" t="s">
        <v>24</v>
      </c>
      <c r="F243" s="1">
        <v>9</v>
      </c>
      <c r="G243" s="14">
        <v>8397</v>
      </c>
      <c r="H243" s="14">
        <v>5206</v>
      </c>
      <c r="I243" s="14">
        <f t="shared" si="3"/>
        <v>3191</v>
      </c>
      <c r="J243" s="15">
        <f>Table1[[#This Row],[profit]]/Table1[[#This Row],[Revenue]]</f>
        <v>0.38001667262117422</v>
      </c>
      <c r="K243" s="1" t="s">
        <v>21</v>
      </c>
      <c r="L243" s="16">
        <f>MONTH(Table1[[#This Row],[OrderDate]])</f>
        <v>6</v>
      </c>
    </row>
    <row r="244" spans="1:12" x14ac:dyDescent="0.2">
      <c r="A244" s="1">
        <v>243</v>
      </c>
      <c r="B244" s="2">
        <v>46003</v>
      </c>
      <c r="C244" s="1" t="s">
        <v>35</v>
      </c>
      <c r="D244" s="1" t="s">
        <v>23</v>
      </c>
      <c r="E244" s="1" t="s">
        <v>24</v>
      </c>
      <c r="F244" s="1">
        <v>6</v>
      </c>
      <c r="G244" s="14">
        <v>9018</v>
      </c>
      <c r="H244" s="14">
        <v>5591</v>
      </c>
      <c r="I244" s="14">
        <f t="shared" si="3"/>
        <v>3427</v>
      </c>
      <c r="J244" s="15">
        <f>Table1[[#This Row],[profit]]/Table1[[#This Row],[Revenue]]</f>
        <v>0.38001774229319141</v>
      </c>
      <c r="K244" s="1" t="s">
        <v>18</v>
      </c>
      <c r="L244" s="16">
        <f>MONTH(Table1[[#This Row],[OrderDate]])</f>
        <v>12</v>
      </c>
    </row>
    <row r="245" spans="1:12" x14ac:dyDescent="0.2">
      <c r="A245" s="1">
        <v>244</v>
      </c>
      <c r="B245" s="2">
        <v>45697</v>
      </c>
      <c r="C245" s="1" t="s">
        <v>62</v>
      </c>
      <c r="D245" s="1" t="s">
        <v>28</v>
      </c>
      <c r="E245" s="1" t="s">
        <v>15</v>
      </c>
      <c r="F245" s="1">
        <v>10</v>
      </c>
      <c r="G245" s="14">
        <v>14640</v>
      </c>
      <c r="H245" s="14">
        <v>11126</v>
      </c>
      <c r="I245" s="14">
        <f t="shared" si="3"/>
        <v>3514</v>
      </c>
      <c r="J245" s="15">
        <f>Table1[[#This Row],[profit]]/Table1[[#This Row],[Revenue]]</f>
        <v>0.24002732240437158</v>
      </c>
      <c r="K245" s="1" t="s">
        <v>18</v>
      </c>
      <c r="L245" s="16">
        <f>MONTH(Table1[[#This Row],[OrderDate]])</f>
        <v>2</v>
      </c>
    </row>
    <row r="246" spans="1:12" x14ac:dyDescent="0.2">
      <c r="A246" s="1">
        <v>245</v>
      </c>
      <c r="B246" s="2">
        <v>45844</v>
      </c>
      <c r="C246" s="1" t="s">
        <v>42</v>
      </c>
      <c r="D246" s="1" t="s">
        <v>32</v>
      </c>
      <c r="E246" s="1" t="s">
        <v>24</v>
      </c>
      <c r="F246" s="1">
        <v>9</v>
      </c>
      <c r="G246" s="14">
        <v>1665</v>
      </c>
      <c r="H246" s="14">
        <v>1032</v>
      </c>
      <c r="I246" s="14">
        <f t="shared" si="3"/>
        <v>633</v>
      </c>
      <c r="J246" s="15">
        <f>Table1[[#This Row],[profit]]/Table1[[#This Row],[Revenue]]</f>
        <v>0.38018018018018018</v>
      </c>
      <c r="K246" s="1" t="s">
        <v>16</v>
      </c>
      <c r="L246" s="16">
        <f>MONTH(Table1[[#This Row],[OrderDate]])</f>
        <v>7</v>
      </c>
    </row>
    <row r="247" spans="1:12" x14ac:dyDescent="0.2">
      <c r="A247" s="1">
        <v>246</v>
      </c>
      <c r="B247" s="2">
        <v>45971</v>
      </c>
      <c r="C247" s="1" t="s">
        <v>31</v>
      </c>
      <c r="D247" s="1" t="s">
        <v>14</v>
      </c>
      <c r="E247" s="1" t="s">
        <v>15</v>
      </c>
      <c r="F247" s="1">
        <v>5</v>
      </c>
      <c r="G247" s="14">
        <v>2810</v>
      </c>
      <c r="H247" s="14">
        <v>2079</v>
      </c>
      <c r="I247" s="14">
        <f t="shared" si="3"/>
        <v>731</v>
      </c>
      <c r="J247" s="15">
        <f>Table1[[#This Row],[profit]]/Table1[[#This Row],[Revenue]]</f>
        <v>0.26014234875444842</v>
      </c>
      <c r="K247" s="1" t="s">
        <v>12</v>
      </c>
      <c r="L247" s="16">
        <f>MONTH(Table1[[#This Row],[OrderDate]])</f>
        <v>11</v>
      </c>
    </row>
    <row r="248" spans="1:12" x14ac:dyDescent="0.2">
      <c r="A248" s="1">
        <v>247</v>
      </c>
      <c r="B248" s="2">
        <v>45831</v>
      </c>
      <c r="C248" s="1" t="s">
        <v>34</v>
      </c>
      <c r="D248" s="1" t="s">
        <v>10</v>
      </c>
      <c r="E248" s="1" t="s">
        <v>11</v>
      </c>
      <c r="F248" s="1">
        <v>2</v>
      </c>
      <c r="G248" s="14">
        <v>3984</v>
      </c>
      <c r="H248" s="14">
        <v>2470</v>
      </c>
      <c r="I248" s="14">
        <f t="shared" si="3"/>
        <v>1514</v>
      </c>
      <c r="J248" s="15">
        <f>Table1[[#This Row],[profit]]/Table1[[#This Row],[Revenue]]</f>
        <v>0.38002008032128515</v>
      </c>
      <c r="K248" s="1" t="s">
        <v>21</v>
      </c>
      <c r="L248" s="16">
        <f>MONTH(Table1[[#This Row],[OrderDate]])</f>
        <v>6</v>
      </c>
    </row>
    <row r="249" spans="1:12" x14ac:dyDescent="0.2">
      <c r="A249" s="1">
        <v>248</v>
      </c>
      <c r="B249" s="2">
        <v>45682</v>
      </c>
      <c r="C249" s="1" t="s">
        <v>9</v>
      </c>
      <c r="D249" s="1" t="s">
        <v>10</v>
      </c>
      <c r="E249" s="1" t="s">
        <v>11</v>
      </c>
      <c r="F249" s="1">
        <v>2</v>
      </c>
      <c r="G249" s="14">
        <v>1512</v>
      </c>
      <c r="H249" s="14">
        <v>1118</v>
      </c>
      <c r="I249" s="14">
        <f t="shared" si="3"/>
        <v>394</v>
      </c>
      <c r="J249" s="15">
        <f>Table1[[#This Row],[profit]]/Table1[[#This Row],[Revenue]]</f>
        <v>0.26058201058201058</v>
      </c>
      <c r="K249" s="1" t="s">
        <v>18</v>
      </c>
      <c r="L249" s="16">
        <f>MONTH(Table1[[#This Row],[OrderDate]])</f>
        <v>1</v>
      </c>
    </row>
    <row r="250" spans="1:12" x14ac:dyDescent="0.2">
      <c r="A250" s="1">
        <v>249</v>
      </c>
      <c r="B250" s="2">
        <v>45815</v>
      </c>
      <c r="C250" s="1" t="s">
        <v>19</v>
      </c>
      <c r="D250" s="1" t="s">
        <v>14</v>
      </c>
      <c r="E250" s="1" t="s">
        <v>15</v>
      </c>
      <c r="F250" s="1">
        <v>4</v>
      </c>
      <c r="G250" s="14">
        <v>4728</v>
      </c>
      <c r="H250" s="14">
        <v>3120</v>
      </c>
      <c r="I250" s="14">
        <f t="shared" si="3"/>
        <v>1608</v>
      </c>
      <c r="J250" s="15">
        <f>Table1[[#This Row],[profit]]/Table1[[#This Row],[Revenue]]</f>
        <v>0.34010152284263961</v>
      </c>
      <c r="K250" s="1" t="s">
        <v>12</v>
      </c>
      <c r="L250" s="16">
        <f>MONTH(Table1[[#This Row],[OrderDate]])</f>
        <v>6</v>
      </c>
    </row>
    <row r="251" spans="1:12" x14ac:dyDescent="0.2">
      <c r="A251" s="1">
        <v>250</v>
      </c>
      <c r="B251" s="2">
        <v>45779</v>
      </c>
      <c r="C251" s="1" t="s">
        <v>60</v>
      </c>
      <c r="D251" s="1" t="s">
        <v>20</v>
      </c>
      <c r="E251" s="1" t="s">
        <v>11</v>
      </c>
      <c r="F251" s="1">
        <v>6</v>
      </c>
      <c r="G251" s="14">
        <v>11514</v>
      </c>
      <c r="H251" s="14">
        <v>7368</v>
      </c>
      <c r="I251" s="14">
        <f t="shared" si="3"/>
        <v>4146</v>
      </c>
      <c r="J251" s="15">
        <f>Table1[[#This Row],[profit]]/Table1[[#This Row],[Revenue]]</f>
        <v>0.36008337675872848</v>
      </c>
      <c r="K251" s="1" t="s">
        <v>18</v>
      </c>
      <c r="L251" s="16">
        <f>MONTH(Table1[[#This Row],[OrderDate]])</f>
        <v>5</v>
      </c>
    </row>
    <row r="252" spans="1:12" x14ac:dyDescent="0.2">
      <c r="A252" s="1">
        <v>251</v>
      </c>
      <c r="B252" s="2">
        <v>45809</v>
      </c>
      <c r="C252" s="1" t="s">
        <v>60</v>
      </c>
      <c r="D252" s="1" t="s">
        <v>20</v>
      </c>
      <c r="E252" s="1" t="s">
        <v>11</v>
      </c>
      <c r="F252" s="1">
        <v>10</v>
      </c>
      <c r="G252" s="14">
        <v>6430</v>
      </c>
      <c r="H252" s="14">
        <v>4243</v>
      </c>
      <c r="I252" s="14">
        <f t="shared" si="3"/>
        <v>2187</v>
      </c>
      <c r="J252" s="15">
        <f>Table1[[#This Row],[profit]]/Table1[[#This Row],[Revenue]]</f>
        <v>0.34012441679626748</v>
      </c>
      <c r="K252" s="1" t="s">
        <v>18</v>
      </c>
      <c r="L252" s="16">
        <f>MONTH(Table1[[#This Row],[OrderDate]])</f>
        <v>6</v>
      </c>
    </row>
    <row r="253" spans="1:12" x14ac:dyDescent="0.2">
      <c r="A253" s="1">
        <v>252</v>
      </c>
      <c r="B253" s="2">
        <v>45673</v>
      </c>
      <c r="C253" s="1" t="s">
        <v>57</v>
      </c>
      <c r="D253" s="1" t="s">
        <v>32</v>
      </c>
      <c r="E253" s="1" t="s">
        <v>24</v>
      </c>
      <c r="F253" s="1">
        <v>1</v>
      </c>
      <c r="G253" s="14">
        <v>833</v>
      </c>
      <c r="H253" s="14">
        <v>583</v>
      </c>
      <c r="I253" s="14">
        <f t="shared" si="3"/>
        <v>250</v>
      </c>
      <c r="J253" s="15">
        <f>Table1[[#This Row],[profit]]/Table1[[#This Row],[Revenue]]</f>
        <v>0.30012004801920766</v>
      </c>
      <c r="K253" s="1" t="s">
        <v>16</v>
      </c>
      <c r="L253" s="16">
        <f>MONTH(Table1[[#This Row],[OrderDate]])</f>
        <v>1</v>
      </c>
    </row>
    <row r="254" spans="1:12" x14ac:dyDescent="0.2">
      <c r="A254" s="1">
        <v>253</v>
      </c>
      <c r="B254" s="2">
        <v>45733</v>
      </c>
      <c r="C254" s="1" t="s">
        <v>48</v>
      </c>
      <c r="D254" s="1" t="s">
        <v>14</v>
      </c>
      <c r="E254" s="1" t="s">
        <v>15</v>
      </c>
      <c r="F254" s="1">
        <v>4</v>
      </c>
      <c r="G254" s="14">
        <v>4876</v>
      </c>
      <c r="H254" s="14">
        <v>3510</v>
      </c>
      <c r="I254" s="14">
        <f t="shared" si="3"/>
        <v>1366</v>
      </c>
      <c r="J254" s="15">
        <f>Table1[[#This Row],[profit]]/Table1[[#This Row],[Revenue]]</f>
        <v>0.28014766201804758</v>
      </c>
      <c r="K254" s="1" t="s">
        <v>12</v>
      </c>
      <c r="L254" s="16">
        <f>MONTH(Table1[[#This Row],[OrderDate]])</f>
        <v>3</v>
      </c>
    </row>
    <row r="255" spans="1:12" x14ac:dyDescent="0.2">
      <c r="A255" s="1">
        <v>254</v>
      </c>
      <c r="B255" s="2">
        <v>45853</v>
      </c>
      <c r="C255" s="1" t="s">
        <v>54</v>
      </c>
      <c r="D255" s="1" t="s">
        <v>28</v>
      </c>
      <c r="E255" s="1" t="s">
        <v>15</v>
      </c>
      <c r="F255" s="1">
        <v>5</v>
      </c>
      <c r="G255" s="14">
        <v>6005</v>
      </c>
      <c r="H255" s="14">
        <v>3422</v>
      </c>
      <c r="I255" s="14">
        <f t="shared" si="3"/>
        <v>2583</v>
      </c>
      <c r="J255" s="15">
        <f>Table1[[#This Row],[profit]]/Table1[[#This Row],[Revenue]]</f>
        <v>0.43014154870940885</v>
      </c>
      <c r="K255" s="1" t="s">
        <v>16</v>
      </c>
      <c r="L255" s="16">
        <f>MONTH(Table1[[#This Row],[OrderDate]])</f>
        <v>7</v>
      </c>
    </row>
    <row r="256" spans="1:12" x14ac:dyDescent="0.2">
      <c r="A256" s="1">
        <v>255</v>
      </c>
      <c r="B256" s="2">
        <v>45828</v>
      </c>
      <c r="C256" s="1" t="s">
        <v>31</v>
      </c>
      <c r="D256" s="1" t="s">
        <v>32</v>
      </c>
      <c r="E256" s="1" t="s">
        <v>24</v>
      </c>
      <c r="F256" s="1">
        <v>2</v>
      </c>
      <c r="G256" s="14">
        <v>1064</v>
      </c>
      <c r="H256" s="14">
        <v>734</v>
      </c>
      <c r="I256" s="14">
        <f t="shared" si="3"/>
        <v>330</v>
      </c>
      <c r="J256" s="15">
        <f>Table1[[#This Row],[profit]]/Table1[[#This Row],[Revenue]]</f>
        <v>0.31015037593984962</v>
      </c>
      <c r="K256" s="1" t="s">
        <v>16</v>
      </c>
      <c r="L256" s="16">
        <f>MONTH(Table1[[#This Row],[OrderDate]])</f>
        <v>6</v>
      </c>
    </row>
    <row r="257" spans="1:12" x14ac:dyDescent="0.2">
      <c r="A257" s="1">
        <v>256</v>
      </c>
      <c r="B257" s="2">
        <v>45912</v>
      </c>
      <c r="C257" s="1" t="s">
        <v>49</v>
      </c>
      <c r="D257" s="1" t="s">
        <v>20</v>
      </c>
      <c r="E257" s="1" t="s">
        <v>11</v>
      </c>
      <c r="F257" s="1">
        <v>3</v>
      </c>
      <c r="G257" s="14">
        <v>2565</v>
      </c>
      <c r="H257" s="14">
        <v>1564</v>
      </c>
      <c r="I257" s="14">
        <f t="shared" si="3"/>
        <v>1001</v>
      </c>
      <c r="J257" s="15">
        <f>Table1[[#This Row],[profit]]/Table1[[#This Row],[Revenue]]</f>
        <v>0.39025341130604291</v>
      </c>
      <c r="K257" s="1" t="s">
        <v>18</v>
      </c>
      <c r="L257" s="16">
        <f>MONTH(Table1[[#This Row],[OrderDate]])</f>
        <v>9</v>
      </c>
    </row>
    <row r="258" spans="1:12" x14ac:dyDescent="0.2">
      <c r="A258" s="1">
        <v>257</v>
      </c>
      <c r="B258" s="2">
        <v>45718</v>
      </c>
      <c r="C258" s="1" t="s">
        <v>27</v>
      </c>
      <c r="D258" s="1" t="s">
        <v>23</v>
      </c>
      <c r="E258" s="1" t="s">
        <v>24</v>
      </c>
      <c r="F258" s="1">
        <v>1</v>
      </c>
      <c r="G258" s="14">
        <v>1872</v>
      </c>
      <c r="H258" s="14">
        <v>1048</v>
      </c>
      <c r="I258" s="14">
        <f t="shared" si="3"/>
        <v>824</v>
      </c>
      <c r="J258" s="15">
        <f>Table1[[#This Row],[profit]]/Table1[[#This Row],[Revenue]]</f>
        <v>0.44017094017094016</v>
      </c>
      <c r="K258" s="1" t="s">
        <v>12</v>
      </c>
      <c r="L258" s="16">
        <f>MONTH(Table1[[#This Row],[OrderDate]])</f>
        <v>3</v>
      </c>
    </row>
    <row r="259" spans="1:12" x14ac:dyDescent="0.2">
      <c r="A259" s="1">
        <v>258</v>
      </c>
      <c r="B259" s="2">
        <v>45972</v>
      </c>
      <c r="C259" s="1" t="s">
        <v>13</v>
      </c>
      <c r="D259" s="1" t="s">
        <v>20</v>
      </c>
      <c r="E259" s="1" t="s">
        <v>11</v>
      </c>
      <c r="F259" s="1">
        <v>10</v>
      </c>
      <c r="G259" s="14">
        <v>16650</v>
      </c>
      <c r="H259" s="14">
        <v>12654</v>
      </c>
      <c r="I259" s="14">
        <f t="shared" ref="I259:I301" si="4">G259-H259</f>
        <v>3996</v>
      </c>
      <c r="J259" s="15">
        <f>Table1[[#This Row],[profit]]/Table1[[#This Row],[Revenue]]</f>
        <v>0.24</v>
      </c>
      <c r="K259" s="1" t="s">
        <v>18</v>
      </c>
      <c r="L259" s="16">
        <f>MONTH(Table1[[#This Row],[OrderDate]])</f>
        <v>11</v>
      </c>
    </row>
    <row r="260" spans="1:12" x14ac:dyDescent="0.2">
      <c r="A260" s="1">
        <v>259</v>
      </c>
      <c r="B260" s="2">
        <v>45665</v>
      </c>
      <c r="C260" s="1" t="s">
        <v>46</v>
      </c>
      <c r="D260" s="1" t="s">
        <v>10</v>
      </c>
      <c r="E260" s="1" t="s">
        <v>11</v>
      </c>
      <c r="F260" s="1">
        <v>2</v>
      </c>
      <c r="G260" s="14">
        <v>3666</v>
      </c>
      <c r="H260" s="14">
        <v>2749</v>
      </c>
      <c r="I260" s="14">
        <f t="shared" si="4"/>
        <v>917</v>
      </c>
      <c r="J260" s="15">
        <f>Table1[[#This Row],[profit]]/Table1[[#This Row],[Revenue]]</f>
        <v>0.25013638843426078</v>
      </c>
      <c r="K260" s="1" t="s">
        <v>18</v>
      </c>
      <c r="L260" s="16">
        <f>MONTH(Table1[[#This Row],[OrderDate]])</f>
        <v>1</v>
      </c>
    </row>
    <row r="261" spans="1:12" x14ac:dyDescent="0.2">
      <c r="A261" s="1">
        <v>260</v>
      </c>
      <c r="B261" s="2">
        <v>45720</v>
      </c>
      <c r="C261" s="1" t="s">
        <v>19</v>
      </c>
      <c r="D261" s="1" t="s">
        <v>39</v>
      </c>
      <c r="E261" s="1" t="s">
        <v>11</v>
      </c>
      <c r="F261" s="1">
        <v>7</v>
      </c>
      <c r="G261" s="14">
        <v>10850</v>
      </c>
      <c r="H261" s="14">
        <v>6184</v>
      </c>
      <c r="I261" s="14">
        <f t="shared" si="4"/>
        <v>4666</v>
      </c>
      <c r="J261" s="15">
        <f>Table1[[#This Row],[profit]]/Table1[[#This Row],[Revenue]]</f>
        <v>0.43004608294930874</v>
      </c>
      <c r="K261" s="1" t="s">
        <v>21</v>
      </c>
      <c r="L261" s="16">
        <f>MONTH(Table1[[#This Row],[OrderDate]])</f>
        <v>3</v>
      </c>
    </row>
    <row r="262" spans="1:12" x14ac:dyDescent="0.2">
      <c r="A262" s="1">
        <v>261</v>
      </c>
      <c r="B262" s="2">
        <v>45712</v>
      </c>
      <c r="C262" s="1" t="s">
        <v>54</v>
      </c>
      <c r="D262" s="1" t="s">
        <v>14</v>
      </c>
      <c r="E262" s="1" t="s">
        <v>15</v>
      </c>
      <c r="F262" s="1">
        <v>8</v>
      </c>
      <c r="G262" s="14">
        <v>12272</v>
      </c>
      <c r="H262" s="14">
        <v>7485</v>
      </c>
      <c r="I262" s="14">
        <f t="shared" si="4"/>
        <v>4787</v>
      </c>
      <c r="J262" s="15">
        <f>Table1[[#This Row],[profit]]/Table1[[#This Row],[Revenue]]</f>
        <v>0.39007496740547587</v>
      </c>
      <c r="K262" s="1" t="s">
        <v>18</v>
      </c>
      <c r="L262" s="16">
        <f>MONTH(Table1[[#This Row],[OrderDate]])</f>
        <v>2</v>
      </c>
    </row>
    <row r="263" spans="1:12" x14ac:dyDescent="0.2">
      <c r="A263" s="1">
        <v>262</v>
      </c>
      <c r="B263" s="2">
        <v>45882</v>
      </c>
      <c r="C263" s="1" t="s">
        <v>51</v>
      </c>
      <c r="D263" s="1" t="s">
        <v>10</v>
      </c>
      <c r="E263" s="1" t="s">
        <v>11</v>
      </c>
      <c r="F263" s="1">
        <v>10</v>
      </c>
      <c r="G263" s="14">
        <v>11930</v>
      </c>
      <c r="H263" s="14">
        <v>9066</v>
      </c>
      <c r="I263" s="14">
        <f t="shared" si="4"/>
        <v>2864</v>
      </c>
      <c r="J263" s="15">
        <f>Table1[[#This Row],[profit]]/Table1[[#This Row],[Revenue]]</f>
        <v>0.24006705783738475</v>
      </c>
      <c r="K263" s="1" t="s">
        <v>21</v>
      </c>
      <c r="L263" s="16">
        <f>MONTH(Table1[[#This Row],[OrderDate]])</f>
        <v>8</v>
      </c>
    </row>
    <row r="264" spans="1:12" x14ac:dyDescent="0.2">
      <c r="A264" s="1">
        <v>263</v>
      </c>
      <c r="B264" s="2">
        <v>45703</v>
      </c>
      <c r="C264" s="1" t="s">
        <v>58</v>
      </c>
      <c r="D264" s="1" t="s">
        <v>10</v>
      </c>
      <c r="E264" s="1" t="s">
        <v>11</v>
      </c>
      <c r="F264" s="1">
        <v>9</v>
      </c>
      <c r="G264" s="14">
        <v>2475</v>
      </c>
      <c r="H264" s="14">
        <v>1757</v>
      </c>
      <c r="I264" s="14">
        <f t="shared" si="4"/>
        <v>718</v>
      </c>
      <c r="J264" s="15">
        <f>Table1[[#This Row],[profit]]/Table1[[#This Row],[Revenue]]</f>
        <v>0.29010101010101008</v>
      </c>
      <c r="K264" s="1" t="s">
        <v>18</v>
      </c>
      <c r="L264" s="16">
        <f>MONTH(Table1[[#This Row],[OrderDate]])</f>
        <v>2</v>
      </c>
    </row>
    <row r="265" spans="1:12" x14ac:dyDescent="0.2">
      <c r="A265" s="1">
        <v>264</v>
      </c>
      <c r="B265" s="2">
        <v>45715</v>
      </c>
      <c r="C265" s="1" t="s">
        <v>30</v>
      </c>
      <c r="D265" s="1" t="s">
        <v>14</v>
      </c>
      <c r="E265" s="1" t="s">
        <v>15</v>
      </c>
      <c r="F265" s="1">
        <v>3</v>
      </c>
      <c r="G265" s="14">
        <v>1005</v>
      </c>
      <c r="H265" s="14">
        <v>854</v>
      </c>
      <c r="I265" s="14">
        <f t="shared" si="4"/>
        <v>151</v>
      </c>
      <c r="J265" s="15">
        <f>Table1[[#This Row],[profit]]/Table1[[#This Row],[Revenue]]</f>
        <v>0.15024875621890546</v>
      </c>
      <c r="K265" s="1" t="s">
        <v>21</v>
      </c>
      <c r="L265" s="16">
        <f>MONTH(Table1[[#This Row],[OrderDate]])</f>
        <v>2</v>
      </c>
    </row>
    <row r="266" spans="1:12" x14ac:dyDescent="0.2">
      <c r="A266" s="1">
        <v>265</v>
      </c>
      <c r="B266" s="2">
        <v>45689</v>
      </c>
      <c r="C266" s="1" t="s">
        <v>50</v>
      </c>
      <c r="D266" s="1" t="s">
        <v>14</v>
      </c>
      <c r="E266" s="1" t="s">
        <v>15</v>
      </c>
      <c r="F266" s="1">
        <v>7</v>
      </c>
      <c r="G266" s="14">
        <v>13720</v>
      </c>
      <c r="H266" s="14">
        <v>10701</v>
      </c>
      <c r="I266" s="14">
        <f t="shared" si="4"/>
        <v>3019</v>
      </c>
      <c r="J266" s="15">
        <f>Table1[[#This Row],[profit]]/Table1[[#This Row],[Revenue]]</f>
        <v>0.22004373177842565</v>
      </c>
      <c r="K266" s="1" t="s">
        <v>21</v>
      </c>
      <c r="L266" s="16">
        <f>MONTH(Table1[[#This Row],[OrderDate]])</f>
        <v>2</v>
      </c>
    </row>
    <row r="267" spans="1:12" x14ac:dyDescent="0.2">
      <c r="A267" s="1">
        <v>266</v>
      </c>
      <c r="B267" s="2">
        <v>45679</v>
      </c>
      <c r="C267" s="1" t="s">
        <v>41</v>
      </c>
      <c r="D267" s="1" t="s">
        <v>28</v>
      </c>
      <c r="E267" s="1" t="s">
        <v>15</v>
      </c>
      <c r="F267" s="1">
        <v>2</v>
      </c>
      <c r="G267" s="14">
        <v>1890</v>
      </c>
      <c r="H267" s="14">
        <v>1455</v>
      </c>
      <c r="I267" s="14">
        <f t="shared" si="4"/>
        <v>435</v>
      </c>
      <c r="J267" s="15">
        <f>Table1[[#This Row],[profit]]/Table1[[#This Row],[Revenue]]</f>
        <v>0.23015873015873015</v>
      </c>
      <c r="K267" s="1" t="s">
        <v>16</v>
      </c>
      <c r="L267" s="16">
        <f>MONTH(Table1[[#This Row],[OrderDate]])</f>
        <v>1</v>
      </c>
    </row>
    <row r="268" spans="1:12" x14ac:dyDescent="0.2">
      <c r="A268" s="1">
        <v>267</v>
      </c>
      <c r="B268" s="2">
        <v>45995</v>
      </c>
      <c r="C268" s="1" t="s">
        <v>40</v>
      </c>
      <c r="D268" s="1" t="s">
        <v>39</v>
      </c>
      <c r="E268" s="1" t="s">
        <v>11</v>
      </c>
      <c r="F268" s="1">
        <v>10</v>
      </c>
      <c r="G268" s="14">
        <v>1480</v>
      </c>
      <c r="H268" s="14">
        <v>1213</v>
      </c>
      <c r="I268" s="14">
        <f t="shared" si="4"/>
        <v>267</v>
      </c>
      <c r="J268" s="15">
        <f>Table1[[#This Row],[profit]]/Table1[[#This Row],[Revenue]]</f>
        <v>0.18040540540540539</v>
      </c>
      <c r="K268" s="1" t="s">
        <v>16</v>
      </c>
      <c r="L268" s="16">
        <f>MONTH(Table1[[#This Row],[OrderDate]])</f>
        <v>12</v>
      </c>
    </row>
    <row r="269" spans="1:12" x14ac:dyDescent="0.2">
      <c r="A269" s="1">
        <v>268</v>
      </c>
      <c r="B269" s="2">
        <v>45760</v>
      </c>
      <c r="C269" s="1" t="s">
        <v>30</v>
      </c>
      <c r="D269" s="1" t="s">
        <v>14</v>
      </c>
      <c r="E269" s="1" t="s">
        <v>15</v>
      </c>
      <c r="F269" s="1">
        <v>7</v>
      </c>
      <c r="G269" s="14">
        <v>6279</v>
      </c>
      <c r="H269" s="14">
        <v>4458</v>
      </c>
      <c r="I269" s="14">
        <f t="shared" si="4"/>
        <v>1821</v>
      </c>
      <c r="J269" s="15">
        <f>Table1[[#This Row],[profit]]/Table1[[#This Row],[Revenue]]</f>
        <v>0.29001433349259437</v>
      </c>
      <c r="K269" s="1" t="s">
        <v>12</v>
      </c>
      <c r="L269" s="16">
        <f>MONTH(Table1[[#This Row],[OrderDate]])</f>
        <v>4</v>
      </c>
    </row>
    <row r="270" spans="1:12" x14ac:dyDescent="0.2">
      <c r="A270" s="1">
        <v>269</v>
      </c>
      <c r="B270" s="2">
        <v>45658</v>
      </c>
      <c r="C270" s="1" t="s">
        <v>53</v>
      </c>
      <c r="D270" s="1" t="s">
        <v>39</v>
      </c>
      <c r="E270" s="1" t="s">
        <v>11</v>
      </c>
      <c r="F270" s="1">
        <v>10</v>
      </c>
      <c r="G270" s="14">
        <v>3270</v>
      </c>
      <c r="H270" s="14">
        <v>1896</v>
      </c>
      <c r="I270" s="14">
        <f t="shared" si="4"/>
        <v>1374</v>
      </c>
      <c r="J270" s="15">
        <f>Table1[[#This Row],[profit]]/Table1[[#This Row],[Revenue]]</f>
        <v>0.42018348623853213</v>
      </c>
      <c r="K270" s="1" t="s">
        <v>21</v>
      </c>
      <c r="L270" s="16">
        <f>MONTH(Table1[[#This Row],[OrderDate]])</f>
        <v>1</v>
      </c>
    </row>
    <row r="271" spans="1:12" x14ac:dyDescent="0.2">
      <c r="A271" s="1">
        <v>270</v>
      </c>
      <c r="B271" s="2">
        <v>45869</v>
      </c>
      <c r="C271" s="1" t="s">
        <v>62</v>
      </c>
      <c r="D271" s="1" t="s">
        <v>39</v>
      </c>
      <c r="E271" s="1" t="s">
        <v>11</v>
      </c>
      <c r="F271" s="1">
        <v>6</v>
      </c>
      <c r="G271" s="14">
        <v>6228</v>
      </c>
      <c r="H271" s="14">
        <v>3736</v>
      </c>
      <c r="I271" s="14">
        <f t="shared" si="4"/>
        <v>2492</v>
      </c>
      <c r="J271" s="15">
        <f>Table1[[#This Row],[profit]]/Table1[[#This Row],[Revenue]]</f>
        <v>0.40012845215157355</v>
      </c>
      <c r="K271" s="1" t="s">
        <v>18</v>
      </c>
      <c r="L271" s="16">
        <f>MONTH(Table1[[#This Row],[OrderDate]])</f>
        <v>7</v>
      </c>
    </row>
    <row r="272" spans="1:12" x14ac:dyDescent="0.2">
      <c r="A272" s="1">
        <v>271</v>
      </c>
      <c r="B272" s="2">
        <v>45774</v>
      </c>
      <c r="C272" s="1" t="s">
        <v>47</v>
      </c>
      <c r="D272" s="1" t="s">
        <v>28</v>
      </c>
      <c r="E272" s="1" t="s">
        <v>15</v>
      </c>
      <c r="F272" s="1">
        <v>8</v>
      </c>
      <c r="G272" s="14">
        <v>1336</v>
      </c>
      <c r="H272" s="14">
        <v>988</v>
      </c>
      <c r="I272" s="14">
        <f t="shared" si="4"/>
        <v>348</v>
      </c>
      <c r="J272" s="15">
        <f>Table1[[#This Row],[profit]]/Table1[[#This Row],[Revenue]]</f>
        <v>0.26047904191616766</v>
      </c>
      <c r="K272" s="1" t="s">
        <v>21</v>
      </c>
      <c r="L272" s="16">
        <f>MONTH(Table1[[#This Row],[OrderDate]])</f>
        <v>4</v>
      </c>
    </row>
    <row r="273" spans="1:12" x14ac:dyDescent="0.2">
      <c r="A273" s="1">
        <v>272</v>
      </c>
      <c r="B273" s="2">
        <v>45690</v>
      </c>
      <c r="C273" s="1" t="s">
        <v>19</v>
      </c>
      <c r="D273" s="1" t="s">
        <v>37</v>
      </c>
      <c r="E273" s="1" t="s">
        <v>24</v>
      </c>
      <c r="F273" s="1">
        <v>8</v>
      </c>
      <c r="G273" s="14">
        <v>6624</v>
      </c>
      <c r="H273" s="14">
        <v>4371</v>
      </c>
      <c r="I273" s="14">
        <f t="shared" si="4"/>
        <v>2253</v>
      </c>
      <c r="J273" s="15">
        <f>Table1[[#This Row],[profit]]/Table1[[#This Row],[Revenue]]</f>
        <v>0.34012681159420288</v>
      </c>
      <c r="K273" s="1" t="s">
        <v>21</v>
      </c>
      <c r="L273" s="16">
        <f>MONTH(Table1[[#This Row],[OrderDate]])</f>
        <v>2</v>
      </c>
    </row>
    <row r="274" spans="1:12" x14ac:dyDescent="0.2">
      <c r="A274" s="1">
        <v>273</v>
      </c>
      <c r="B274" s="2">
        <v>45741</v>
      </c>
      <c r="C274" s="1" t="s">
        <v>17</v>
      </c>
      <c r="D274" s="1" t="s">
        <v>14</v>
      </c>
      <c r="E274" s="1" t="s">
        <v>15</v>
      </c>
      <c r="F274" s="1">
        <v>1</v>
      </c>
      <c r="G274" s="14">
        <v>1954</v>
      </c>
      <c r="H274" s="14">
        <v>1465</v>
      </c>
      <c r="I274" s="14">
        <f t="shared" si="4"/>
        <v>489</v>
      </c>
      <c r="J274" s="15">
        <f>Table1[[#This Row],[profit]]/Table1[[#This Row],[Revenue]]</f>
        <v>0.25025588536335719</v>
      </c>
      <c r="K274" s="1" t="s">
        <v>12</v>
      </c>
      <c r="L274" s="16">
        <f>MONTH(Table1[[#This Row],[OrderDate]])</f>
        <v>3</v>
      </c>
    </row>
    <row r="275" spans="1:12" x14ac:dyDescent="0.2">
      <c r="A275" s="1">
        <v>274</v>
      </c>
      <c r="B275" s="2">
        <v>45967</v>
      </c>
      <c r="C275" s="1" t="s">
        <v>38</v>
      </c>
      <c r="D275" s="1" t="s">
        <v>10</v>
      </c>
      <c r="E275" s="1" t="s">
        <v>11</v>
      </c>
      <c r="F275" s="1">
        <v>9</v>
      </c>
      <c r="G275" s="14">
        <v>6066</v>
      </c>
      <c r="H275" s="14">
        <v>4610</v>
      </c>
      <c r="I275" s="14">
        <f t="shared" si="4"/>
        <v>1456</v>
      </c>
      <c r="J275" s="15">
        <f>Table1[[#This Row],[profit]]/Table1[[#This Row],[Revenue]]</f>
        <v>0.24002637652489284</v>
      </c>
      <c r="K275" s="1" t="s">
        <v>12</v>
      </c>
      <c r="L275" s="16">
        <f>MONTH(Table1[[#This Row],[OrderDate]])</f>
        <v>11</v>
      </c>
    </row>
    <row r="276" spans="1:12" x14ac:dyDescent="0.2">
      <c r="A276" s="1">
        <v>275</v>
      </c>
      <c r="B276" s="2">
        <v>45864</v>
      </c>
      <c r="C276" s="1" t="s">
        <v>53</v>
      </c>
      <c r="D276" s="1" t="s">
        <v>20</v>
      </c>
      <c r="E276" s="1" t="s">
        <v>11</v>
      </c>
      <c r="F276" s="1">
        <v>2</v>
      </c>
      <c r="G276" s="14">
        <v>3160</v>
      </c>
      <c r="H276" s="14">
        <v>2370</v>
      </c>
      <c r="I276" s="14">
        <f t="shared" si="4"/>
        <v>790</v>
      </c>
      <c r="J276" s="15">
        <f>Table1[[#This Row],[profit]]/Table1[[#This Row],[Revenue]]</f>
        <v>0.25</v>
      </c>
      <c r="K276" s="1" t="s">
        <v>18</v>
      </c>
      <c r="L276" s="16">
        <f>MONTH(Table1[[#This Row],[OrderDate]])</f>
        <v>7</v>
      </c>
    </row>
    <row r="277" spans="1:12" x14ac:dyDescent="0.2">
      <c r="A277" s="1">
        <v>276</v>
      </c>
      <c r="B277" s="2">
        <v>45720</v>
      </c>
      <c r="C277" s="1" t="s">
        <v>63</v>
      </c>
      <c r="D277" s="1" t="s">
        <v>28</v>
      </c>
      <c r="E277" s="1" t="s">
        <v>15</v>
      </c>
      <c r="F277" s="1">
        <v>3</v>
      </c>
      <c r="G277" s="14">
        <v>2736</v>
      </c>
      <c r="H277" s="14">
        <v>2134</v>
      </c>
      <c r="I277" s="14">
        <f t="shared" si="4"/>
        <v>602</v>
      </c>
      <c r="J277" s="15">
        <f>Table1[[#This Row],[profit]]/Table1[[#This Row],[Revenue]]</f>
        <v>0.22002923976608188</v>
      </c>
      <c r="K277" s="1" t="s">
        <v>21</v>
      </c>
      <c r="L277" s="16">
        <f>MONTH(Table1[[#This Row],[OrderDate]])</f>
        <v>3</v>
      </c>
    </row>
    <row r="278" spans="1:12" x14ac:dyDescent="0.2">
      <c r="A278" s="1">
        <v>277</v>
      </c>
      <c r="B278" s="2">
        <v>45864</v>
      </c>
      <c r="C278" s="1" t="s">
        <v>33</v>
      </c>
      <c r="D278" s="1" t="s">
        <v>37</v>
      </c>
      <c r="E278" s="1" t="s">
        <v>24</v>
      </c>
      <c r="F278" s="1">
        <v>5</v>
      </c>
      <c r="G278" s="14">
        <v>6195</v>
      </c>
      <c r="H278" s="14">
        <v>5017</v>
      </c>
      <c r="I278" s="14">
        <f t="shared" si="4"/>
        <v>1178</v>
      </c>
      <c r="J278" s="15">
        <f>Table1[[#This Row],[profit]]/Table1[[#This Row],[Revenue]]</f>
        <v>0.19015334947538337</v>
      </c>
      <c r="K278" s="1" t="s">
        <v>21</v>
      </c>
      <c r="L278" s="16">
        <f>MONTH(Table1[[#This Row],[OrderDate]])</f>
        <v>7</v>
      </c>
    </row>
    <row r="279" spans="1:12" x14ac:dyDescent="0.2">
      <c r="A279" s="1">
        <v>278</v>
      </c>
      <c r="B279" s="2">
        <v>45844</v>
      </c>
      <c r="C279" s="1" t="s">
        <v>59</v>
      </c>
      <c r="D279" s="1" t="s">
        <v>39</v>
      </c>
      <c r="E279" s="1" t="s">
        <v>11</v>
      </c>
      <c r="F279" s="1">
        <v>10</v>
      </c>
      <c r="G279" s="14">
        <v>17010</v>
      </c>
      <c r="H279" s="14">
        <v>10206</v>
      </c>
      <c r="I279" s="14">
        <f t="shared" si="4"/>
        <v>6804</v>
      </c>
      <c r="J279" s="15">
        <f>Table1[[#This Row],[profit]]/Table1[[#This Row],[Revenue]]</f>
        <v>0.4</v>
      </c>
      <c r="K279" s="1" t="s">
        <v>16</v>
      </c>
      <c r="L279" s="16">
        <f>MONTH(Table1[[#This Row],[OrderDate]])</f>
        <v>7</v>
      </c>
    </row>
    <row r="280" spans="1:12" x14ac:dyDescent="0.2">
      <c r="A280" s="1">
        <v>279</v>
      </c>
      <c r="B280" s="2">
        <v>46010</v>
      </c>
      <c r="C280" s="1" t="s">
        <v>44</v>
      </c>
      <c r="D280" s="1" t="s">
        <v>32</v>
      </c>
      <c r="E280" s="1" t="s">
        <v>24</v>
      </c>
      <c r="F280" s="1">
        <v>9</v>
      </c>
      <c r="G280" s="14">
        <v>14166</v>
      </c>
      <c r="H280" s="14">
        <v>11757</v>
      </c>
      <c r="I280" s="14">
        <f t="shared" si="4"/>
        <v>2409</v>
      </c>
      <c r="J280" s="15">
        <f>Table1[[#This Row],[profit]]/Table1[[#This Row],[Revenue]]</f>
        <v>0.17005506141465482</v>
      </c>
      <c r="K280" s="1" t="s">
        <v>12</v>
      </c>
      <c r="L280" s="16">
        <f>MONTH(Table1[[#This Row],[OrderDate]])</f>
        <v>12</v>
      </c>
    </row>
    <row r="281" spans="1:12" x14ac:dyDescent="0.2">
      <c r="A281" s="1">
        <v>280</v>
      </c>
      <c r="B281" s="2">
        <v>45848</v>
      </c>
      <c r="C281" s="1" t="s">
        <v>40</v>
      </c>
      <c r="D281" s="1" t="s">
        <v>23</v>
      </c>
      <c r="E281" s="1" t="s">
        <v>24</v>
      </c>
      <c r="F281" s="1">
        <v>6</v>
      </c>
      <c r="G281" s="14">
        <v>2400</v>
      </c>
      <c r="H281" s="14">
        <v>1848</v>
      </c>
      <c r="I281" s="14">
        <f t="shared" si="4"/>
        <v>552</v>
      </c>
      <c r="J281" s="15">
        <f>Table1[[#This Row],[profit]]/Table1[[#This Row],[Revenue]]</f>
        <v>0.23</v>
      </c>
      <c r="K281" s="1" t="s">
        <v>18</v>
      </c>
      <c r="L281" s="16">
        <f>MONTH(Table1[[#This Row],[OrderDate]])</f>
        <v>7</v>
      </c>
    </row>
    <row r="282" spans="1:12" x14ac:dyDescent="0.2">
      <c r="A282" s="1">
        <v>281</v>
      </c>
      <c r="B282" s="2">
        <v>45897</v>
      </c>
      <c r="C282" s="1" t="s">
        <v>13</v>
      </c>
      <c r="D282" s="1" t="s">
        <v>28</v>
      </c>
      <c r="E282" s="1" t="s">
        <v>15</v>
      </c>
      <c r="F282" s="1">
        <v>1</v>
      </c>
      <c r="G282" s="14">
        <v>1014</v>
      </c>
      <c r="H282" s="14">
        <v>648</v>
      </c>
      <c r="I282" s="14">
        <f t="shared" si="4"/>
        <v>366</v>
      </c>
      <c r="J282" s="15">
        <f>Table1[[#This Row],[profit]]/Table1[[#This Row],[Revenue]]</f>
        <v>0.36094674556213019</v>
      </c>
      <c r="K282" s="1" t="s">
        <v>16</v>
      </c>
      <c r="L282" s="16">
        <f>MONTH(Table1[[#This Row],[OrderDate]])</f>
        <v>8</v>
      </c>
    </row>
    <row r="283" spans="1:12" x14ac:dyDescent="0.2">
      <c r="A283" s="1">
        <v>282</v>
      </c>
      <c r="B283" s="2">
        <v>45758</v>
      </c>
      <c r="C283" s="1" t="s">
        <v>36</v>
      </c>
      <c r="D283" s="1" t="s">
        <v>28</v>
      </c>
      <c r="E283" s="1" t="s">
        <v>15</v>
      </c>
      <c r="F283" s="1">
        <v>5</v>
      </c>
      <c r="G283" s="14">
        <v>3545</v>
      </c>
      <c r="H283" s="14">
        <v>2446</v>
      </c>
      <c r="I283" s="14">
        <f t="shared" si="4"/>
        <v>1099</v>
      </c>
      <c r="J283" s="15">
        <f>Table1[[#This Row],[profit]]/Table1[[#This Row],[Revenue]]</f>
        <v>0.31001410437235544</v>
      </c>
      <c r="K283" s="1" t="s">
        <v>21</v>
      </c>
      <c r="L283" s="16">
        <f>MONTH(Table1[[#This Row],[OrderDate]])</f>
        <v>4</v>
      </c>
    </row>
    <row r="284" spans="1:12" x14ac:dyDescent="0.2">
      <c r="A284" s="1">
        <v>283</v>
      </c>
      <c r="B284" s="2">
        <v>45700</v>
      </c>
      <c r="C284" s="1" t="s">
        <v>50</v>
      </c>
      <c r="D284" s="1" t="s">
        <v>20</v>
      </c>
      <c r="E284" s="1" t="s">
        <v>11</v>
      </c>
      <c r="F284" s="1">
        <v>7</v>
      </c>
      <c r="G284" s="14">
        <v>4998</v>
      </c>
      <c r="H284" s="14">
        <v>2798</v>
      </c>
      <c r="I284" s="14">
        <f t="shared" si="4"/>
        <v>2200</v>
      </c>
      <c r="J284" s="15">
        <f>Table1[[#This Row],[profit]]/Table1[[#This Row],[Revenue]]</f>
        <v>0.44017607042817125</v>
      </c>
      <c r="K284" s="1" t="s">
        <v>21</v>
      </c>
      <c r="L284" s="16">
        <f>MONTH(Table1[[#This Row],[OrderDate]])</f>
        <v>2</v>
      </c>
    </row>
    <row r="285" spans="1:12" x14ac:dyDescent="0.2">
      <c r="A285" s="1">
        <v>284</v>
      </c>
      <c r="B285" s="2">
        <v>45857</v>
      </c>
      <c r="C285" s="1" t="s">
        <v>42</v>
      </c>
      <c r="D285" s="1" t="s">
        <v>10</v>
      </c>
      <c r="E285" s="1" t="s">
        <v>11</v>
      </c>
      <c r="F285" s="1">
        <v>10</v>
      </c>
      <c r="G285" s="14">
        <v>10840</v>
      </c>
      <c r="H285" s="14">
        <v>6720</v>
      </c>
      <c r="I285" s="14">
        <f t="shared" si="4"/>
        <v>4120</v>
      </c>
      <c r="J285" s="15">
        <f>Table1[[#This Row],[profit]]/Table1[[#This Row],[Revenue]]</f>
        <v>0.38007380073800739</v>
      </c>
      <c r="K285" s="1" t="s">
        <v>12</v>
      </c>
      <c r="L285" s="16">
        <f>MONTH(Table1[[#This Row],[OrderDate]])</f>
        <v>7</v>
      </c>
    </row>
    <row r="286" spans="1:12" x14ac:dyDescent="0.2">
      <c r="A286" s="1">
        <v>285</v>
      </c>
      <c r="B286" s="2">
        <v>45951</v>
      </c>
      <c r="C286" s="1" t="s">
        <v>41</v>
      </c>
      <c r="D286" s="1" t="s">
        <v>28</v>
      </c>
      <c r="E286" s="1" t="s">
        <v>15</v>
      </c>
      <c r="F286" s="1">
        <v>9</v>
      </c>
      <c r="G286" s="14">
        <v>3087</v>
      </c>
      <c r="H286" s="14">
        <v>1883</v>
      </c>
      <c r="I286" s="14">
        <f t="shared" si="4"/>
        <v>1204</v>
      </c>
      <c r="J286" s="15">
        <f>Table1[[#This Row],[profit]]/Table1[[#This Row],[Revenue]]</f>
        <v>0.39002267573696148</v>
      </c>
      <c r="K286" s="1" t="s">
        <v>16</v>
      </c>
      <c r="L286" s="16">
        <f>MONTH(Table1[[#This Row],[OrderDate]])</f>
        <v>10</v>
      </c>
    </row>
    <row r="287" spans="1:12" x14ac:dyDescent="0.2">
      <c r="A287" s="1">
        <v>286</v>
      </c>
      <c r="B287" s="2">
        <v>45924</v>
      </c>
      <c r="C287" s="1" t="s">
        <v>55</v>
      </c>
      <c r="D287" s="1" t="s">
        <v>20</v>
      </c>
      <c r="E287" s="1" t="s">
        <v>11</v>
      </c>
      <c r="F287" s="1">
        <v>7</v>
      </c>
      <c r="G287" s="14">
        <v>3129</v>
      </c>
      <c r="H287" s="14">
        <v>2659</v>
      </c>
      <c r="I287" s="14">
        <f t="shared" si="4"/>
        <v>470</v>
      </c>
      <c r="J287" s="15">
        <f>Table1[[#This Row],[profit]]/Table1[[#This Row],[Revenue]]</f>
        <v>0.15020773410035154</v>
      </c>
      <c r="K287" s="1" t="s">
        <v>16</v>
      </c>
      <c r="L287" s="16">
        <f>MONTH(Table1[[#This Row],[OrderDate]])</f>
        <v>9</v>
      </c>
    </row>
    <row r="288" spans="1:12" x14ac:dyDescent="0.2">
      <c r="A288" s="1">
        <v>287</v>
      </c>
      <c r="B288" s="2">
        <v>45833</v>
      </c>
      <c r="C288" s="1" t="s">
        <v>49</v>
      </c>
      <c r="D288" s="1" t="s">
        <v>10</v>
      </c>
      <c r="E288" s="1" t="s">
        <v>11</v>
      </c>
      <c r="F288" s="1">
        <v>10</v>
      </c>
      <c r="G288" s="14">
        <v>17490</v>
      </c>
      <c r="H288" s="14">
        <v>11893</v>
      </c>
      <c r="I288" s="14">
        <f t="shared" si="4"/>
        <v>5597</v>
      </c>
      <c r="J288" s="15">
        <f>Table1[[#This Row],[profit]]/Table1[[#This Row],[Revenue]]</f>
        <v>0.32001143510577473</v>
      </c>
      <c r="K288" s="1" t="s">
        <v>21</v>
      </c>
      <c r="L288" s="16">
        <f>MONTH(Table1[[#This Row],[OrderDate]])</f>
        <v>6</v>
      </c>
    </row>
    <row r="289" spans="1:12" x14ac:dyDescent="0.2">
      <c r="A289" s="1">
        <v>288</v>
      </c>
      <c r="B289" s="2">
        <v>45947</v>
      </c>
      <c r="C289" s="1" t="s">
        <v>55</v>
      </c>
      <c r="D289" s="1" t="s">
        <v>23</v>
      </c>
      <c r="E289" s="1" t="s">
        <v>24</v>
      </c>
      <c r="F289" s="1">
        <v>3</v>
      </c>
      <c r="G289" s="14">
        <v>3975</v>
      </c>
      <c r="H289" s="14">
        <v>2226</v>
      </c>
      <c r="I289" s="14">
        <f t="shared" si="4"/>
        <v>1749</v>
      </c>
      <c r="J289" s="15">
        <f>Table1[[#This Row],[profit]]/Table1[[#This Row],[Revenue]]</f>
        <v>0.44</v>
      </c>
      <c r="K289" s="1" t="s">
        <v>18</v>
      </c>
      <c r="L289" s="16">
        <f>MONTH(Table1[[#This Row],[OrderDate]])</f>
        <v>10</v>
      </c>
    </row>
    <row r="290" spans="1:12" x14ac:dyDescent="0.2">
      <c r="A290" s="1">
        <v>289</v>
      </c>
      <c r="B290" s="2">
        <v>45848</v>
      </c>
      <c r="C290" s="1" t="s">
        <v>53</v>
      </c>
      <c r="D290" s="1" t="s">
        <v>28</v>
      </c>
      <c r="E290" s="1" t="s">
        <v>15</v>
      </c>
      <c r="F290" s="1">
        <v>7</v>
      </c>
      <c r="G290" s="14">
        <v>10402</v>
      </c>
      <c r="H290" s="14">
        <v>6553</v>
      </c>
      <c r="I290" s="14">
        <f t="shared" si="4"/>
        <v>3849</v>
      </c>
      <c r="J290" s="15">
        <f>Table1[[#This Row],[profit]]/Table1[[#This Row],[Revenue]]</f>
        <v>0.37002499519323206</v>
      </c>
      <c r="K290" s="1" t="s">
        <v>12</v>
      </c>
      <c r="L290" s="16">
        <f>MONTH(Table1[[#This Row],[OrderDate]])</f>
        <v>7</v>
      </c>
    </row>
    <row r="291" spans="1:12" x14ac:dyDescent="0.2">
      <c r="A291" s="1">
        <v>290</v>
      </c>
      <c r="B291" s="2">
        <v>45800</v>
      </c>
      <c r="C291" s="1" t="s">
        <v>33</v>
      </c>
      <c r="D291" s="1" t="s">
        <v>28</v>
      </c>
      <c r="E291" s="1" t="s">
        <v>15</v>
      </c>
      <c r="F291" s="1">
        <v>10</v>
      </c>
      <c r="G291" s="14">
        <v>15580</v>
      </c>
      <c r="H291" s="14">
        <v>10750</v>
      </c>
      <c r="I291" s="14">
        <f t="shared" si="4"/>
        <v>4830</v>
      </c>
      <c r="J291" s="15">
        <f>Table1[[#This Row],[profit]]/Table1[[#This Row],[Revenue]]</f>
        <v>0.31001283697047499</v>
      </c>
      <c r="K291" s="1" t="s">
        <v>18</v>
      </c>
      <c r="L291" s="16">
        <f>MONTH(Table1[[#This Row],[OrderDate]])</f>
        <v>5</v>
      </c>
    </row>
    <row r="292" spans="1:12" x14ac:dyDescent="0.2">
      <c r="A292" s="1">
        <v>291</v>
      </c>
      <c r="B292" s="2">
        <v>45792</v>
      </c>
      <c r="C292" s="1" t="s">
        <v>13</v>
      </c>
      <c r="D292" s="1" t="s">
        <v>28</v>
      </c>
      <c r="E292" s="1" t="s">
        <v>15</v>
      </c>
      <c r="F292" s="1">
        <v>5</v>
      </c>
      <c r="G292" s="14">
        <v>5415</v>
      </c>
      <c r="H292" s="14">
        <v>3140</v>
      </c>
      <c r="I292" s="14">
        <f t="shared" si="4"/>
        <v>2275</v>
      </c>
      <c r="J292" s="15">
        <f>Table1[[#This Row],[profit]]/Table1[[#This Row],[Revenue]]</f>
        <v>0.420129270544783</v>
      </c>
      <c r="K292" s="1" t="s">
        <v>12</v>
      </c>
      <c r="L292" s="16">
        <f>MONTH(Table1[[#This Row],[OrderDate]])</f>
        <v>5</v>
      </c>
    </row>
    <row r="293" spans="1:12" x14ac:dyDescent="0.2">
      <c r="A293" s="1">
        <v>292</v>
      </c>
      <c r="B293" s="2">
        <v>45704</v>
      </c>
      <c r="C293" s="1" t="s">
        <v>46</v>
      </c>
      <c r="D293" s="1" t="s">
        <v>28</v>
      </c>
      <c r="E293" s="1" t="s">
        <v>15</v>
      </c>
      <c r="F293" s="1">
        <v>9</v>
      </c>
      <c r="G293" s="14">
        <v>16488</v>
      </c>
      <c r="H293" s="14">
        <v>12201</v>
      </c>
      <c r="I293" s="14">
        <f t="shared" si="4"/>
        <v>4287</v>
      </c>
      <c r="J293" s="15">
        <f>Table1[[#This Row],[profit]]/Table1[[#This Row],[Revenue]]</f>
        <v>0.26000727802037843</v>
      </c>
      <c r="K293" s="1" t="s">
        <v>12</v>
      </c>
      <c r="L293" s="16">
        <f>MONTH(Table1[[#This Row],[OrderDate]])</f>
        <v>2</v>
      </c>
    </row>
    <row r="294" spans="1:12" x14ac:dyDescent="0.2">
      <c r="A294" s="1">
        <v>293</v>
      </c>
      <c r="B294" s="2">
        <v>45999</v>
      </c>
      <c r="C294" s="1" t="s">
        <v>27</v>
      </c>
      <c r="D294" s="1" t="s">
        <v>10</v>
      </c>
      <c r="E294" s="1" t="s">
        <v>11</v>
      </c>
      <c r="F294" s="1">
        <v>1</v>
      </c>
      <c r="G294" s="14">
        <v>1893</v>
      </c>
      <c r="H294" s="14">
        <v>1476</v>
      </c>
      <c r="I294" s="14">
        <f t="shared" si="4"/>
        <v>417</v>
      </c>
      <c r="J294" s="15">
        <f>Table1[[#This Row],[profit]]/Table1[[#This Row],[Revenue]]</f>
        <v>0.2202852614896989</v>
      </c>
      <c r="K294" s="1" t="s">
        <v>12</v>
      </c>
      <c r="L294" s="16">
        <f>MONTH(Table1[[#This Row],[OrderDate]])</f>
        <v>12</v>
      </c>
    </row>
    <row r="295" spans="1:12" x14ac:dyDescent="0.2">
      <c r="A295" s="1">
        <v>294</v>
      </c>
      <c r="B295" s="2">
        <v>45966</v>
      </c>
      <c r="C295" s="1" t="s">
        <v>29</v>
      </c>
      <c r="D295" s="1" t="s">
        <v>20</v>
      </c>
      <c r="E295" s="1" t="s">
        <v>11</v>
      </c>
      <c r="F295" s="1">
        <v>5</v>
      </c>
      <c r="G295" s="14">
        <v>2270</v>
      </c>
      <c r="H295" s="14">
        <v>1906</v>
      </c>
      <c r="I295" s="14">
        <f t="shared" si="4"/>
        <v>364</v>
      </c>
      <c r="J295" s="15">
        <f>Table1[[#This Row],[profit]]/Table1[[#This Row],[Revenue]]</f>
        <v>0.160352422907489</v>
      </c>
      <c r="K295" s="1" t="s">
        <v>18</v>
      </c>
      <c r="L295" s="16">
        <f>MONTH(Table1[[#This Row],[OrderDate]])</f>
        <v>11</v>
      </c>
    </row>
    <row r="296" spans="1:12" x14ac:dyDescent="0.2">
      <c r="A296" s="1">
        <v>295</v>
      </c>
      <c r="B296" s="2">
        <v>45751</v>
      </c>
      <c r="C296" s="1" t="s">
        <v>58</v>
      </c>
      <c r="D296" s="1" t="s">
        <v>23</v>
      </c>
      <c r="E296" s="1" t="s">
        <v>24</v>
      </c>
      <c r="F296" s="1">
        <v>10</v>
      </c>
      <c r="G296" s="14">
        <v>16550</v>
      </c>
      <c r="H296" s="14">
        <v>12578</v>
      </c>
      <c r="I296" s="14">
        <f t="shared" si="4"/>
        <v>3972</v>
      </c>
      <c r="J296" s="15">
        <f>Table1[[#This Row],[profit]]/Table1[[#This Row],[Revenue]]</f>
        <v>0.24</v>
      </c>
      <c r="K296" s="1" t="s">
        <v>12</v>
      </c>
      <c r="L296" s="16">
        <f>MONTH(Table1[[#This Row],[OrderDate]])</f>
        <v>4</v>
      </c>
    </row>
    <row r="297" spans="1:12" x14ac:dyDescent="0.2">
      <c r="A297" s="1">
        <v>296</v>
      </c>
      <c r="B297" s="2">
        <v>45900</v>
      </c>
      <c r="C297" s="1" t="s">
        <v>47</v>
      </c>
      <c r="D297" s="1" t="s">
        <v>14</v>
      </c>
      <c r="E297" s="1" t="s">
        <v>15</v>
      </c>
      <c r="F297" s="1">
        <v>2</v>
      </c>
      <c r="G297" s="14">
        <v>1518</v>
      </c>
      <c r="H297" s="14">
        <v>941</v>
      </c>
      <c r="I297" s="14">
        <f t="shared" si="4"/>
        <v>577</v>
      </c>
      <c r="J297" s="15">
        <f>Table1[[#This Row],[profit]]/Table1[[#This Row],[Revenue]]</f>
        <v>0.38010540184453229</v>
      </c>
      <c r="K297" s="1" t="s">
        <v>18</v>
      </c>
      <c r="L297" s="16">
        <f>MONTH(Table1[[#This Row],[OrderDate]])</f>
        <v>8</v>
      </c>
    </row>
    <row r="298" spans="1:12" x14ac:dyDescent="0.2">
      <c r="A298" s="1">
        <v>297</v>
      </c>
      <c r="B298" s="2">
        <v>45913</v>
      </c>
      <c r="C298" s="1" t="s">
        <v>53</v>
      </c>
      <c r="D298" s="1" t="s">
        <v>14</v>
      </c>
      <c r="E298" s="1" t="s">
        <v>15</v>
      </c>
      <c r="F298" s="1">
        <v>5</v>
      </c>
      <c r="G298" s="14">
        <v>1630</v>
      </c>
      <c r="H298" s="14">
        <v>1026</v>
      </c>
      <c r="I298" s="14">
        <f t="shared" si="4"/>
        <v>604</v>
      </c>
      <c r="J298" s="15">
        <f>Table1[[#This Row],[profit]]/Table1[[#This Row],[Revenue]]</f>
        <v>0.37055214723926383</v>
      </c>
      <c r="K298" s="1" t="s">
        <v>21</v>
      </c>
      <c r="L298" s="16">
        <f>MONTH(Table1[[#This Row],[OrderDate]])</f>
        <v>9</v>
      </c>
    </row>
    <row r="299" spans="1:12" x14ac:dyDescent="0.2">
      <c r="A299" s="1">
        <v>298</v>
      </c>
      <c r="B299" s="2">
        <v>45864</v>
      </c>
      <c r="C299" s="1" t="s">
        <v>60</v>
      </c>
      <c r="D299" s="1" t="s">
        <v>37</v>
      </c>
      <c r="E299" s="1" t="s">
        <v>24</v>
      </c>
      <c r="F299" s="1">
        <v>7</v>
      </c>
      <c r="G299" s="14">
        <v>9415</v>
      </c>
      <c r="H299" s="14">
        <v>6025</v>
      </c>
      <c r="I299" s="14">
        <f t="shared" si="4"/>
        <v>3390</v>
      </c>
      <c r="J299" s="15">
        <f>Table1[[#This Row],[profit]]/Table1[[#This Row],[Revenue]]</f>
        <v>0.36006372809346787</v>
      </c>
      <c r="K299" s="1" t="s">
        <v>12</v>
      </c>
      <c r="L299" s="16">
        <f>MONTH(Table1[[#This Row],[OrderDate]])</f>
        <v>7</v>
      </c>
    </row>
    <row r="300" spans="1:12" x14ac:dyDescent="0.2">
      <c r="A300" s="1">
        <v>299</v>
      </c>
      <c r="B300" s="2">
        <v>45739</v>
      </c>
      <c r="C300" s="1" t="s">
        <v>40</v>
      </c>
      <c r="D300" s="1" t="s">
        <v>20</v>
      </c>
      <c r="E300" s="1" t="s">
        <v>11</v>
      </c>
      <c r="F300" s="1">
        <v>8</v>
      </c>
      <c r="G300" s="14">
        <v>2184</v>
      </c>
      <c r="H300" s="14">
        <v>1703</v>
      </c>
      <c r="I300" s="14">
        <f t="shared" si="4"/>
        <v>481</v>
      </c>
      <c r="J300" s="15">
        <f>Table1[[#This Row],[profit]]/Table1[[#This Row],[Revenue]]</f>
        <v>0.22023809523809523</v>
      </c>
      <c r="K300" s="1" t="s">
        <v>18</v>
      </c>
      <c r="L300" s="16">
        <f>MONTH(Table1[[#This Row],[OrderDate]])</f>
        <v>3</v>
      </c>
    </row>
    <row r="301" spans="1:12" x14ac:dyDescent="0.2">
      <c r="A301" s="1">
        <v>300</v>
      </c>
      <c r="B301" s="2">
        <v>45867</v>
      </c>
      <c r="C301" s="1" t="s">
        <v>61</v>
      </c>
      <c r="D301" s="1" t="s">
        <v>20</v>
      </c>
      <c r="E301" s="1" t="s">
        <v>11</v>
      </c>
      <c r="F301" s="1">
        <v>3</v>
      </c>
      <c r="G301" s="14">
        <v>3111</v>
      </c>
      <c r="H301" s="14">
        <v>2053</v>
      </c>
      <c r="I301" s="14">
        <f t="shared" si="4"/>
        <v>1058</v>
      </c>
      <c r="J301" s="15">
        <f>Table1[[#This Row],[profit]]/Table1[[#This Row],[Revenue]]</f>
        <v>0.34008357441337189</v>
      </c>
      <c r="K301" s="1" t="s">
        <v>12</v>
      </c>
      <c r="L301" s="16">
        <f>MONTH(Table1[[#This Row],[OrderDate]])</f>
        <v>7</v>
      </c>
    </row>
  </sheetData>
  <pageMargins left="0.75" right="0.75" top="1" bottom="1" header="0.5" footer="0.5"/>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showGridLines="0" workbookViewId="0">
      <selection activeCell="D6" sqref="D6"/>
    </sheetView>
  </sheetViews>
  <sheetFormatPr defaultRowHeight="14.25" x14ac:dyDescent="0.2"/>
  <cols>
    <col min="1" max="1" width="14.25" bestFit="1" customWidth="1"/>
    <col min="2" max="2" width="11.375" bestFit="1" customWidth="1"/>
    <col min="3" max="3" width="12" bestFit="1" customWidth="1"/>
    <col min="4" max="4" width="17.625" bestFit="1" customWidth="1"/>
    <col min="5" max="5" width="17.125" bestFit="1" customWidth="1"/>
    <col min="7" max="7" width="15.875" bestFit="1" customWidth="1"/>
    <col min="9" max="9" width="17.125" bestFit="1" customWidth="1"/>
    <col min="10" max="10" width="12" bestFit="1" customWidth="1"/>
  </cols>
  <sheetData>
    <row r="1" spans="1:10" ht="31.5" customHeight="1" x14ac:dyDescent="0.2"/>
    <row r="2" spans="1:10" ht="29.25" customHeight="1" x14ac:dyDescent="0.2"/>
    <row r="3" spans="1:10" ht="15" x14ac:dyDescent="0.2">
      <c r="A3" s="1"/>
      <c r="B3" s="1"/>
      <c r="C3" s="1"/>
      <c r="D3" s="1"/>
    </row>
    <row r="6" spans="1:10" ht="33" customHeight="1" x14ac:dyDescent="0.2">
      <c r="D6" s="6" t="s">
        <v>66</v>
      </c>
      <c r="G6" s="6" t="s">
        <v>67</v>
      </c>
      <c r="J6" s="6" t="s">
        <v>68</v>
      </c>
    </row>
    <row r="7" spans="1:10" ht="15.75" customHeight="1" x14ac:dyDescent="0.2">
      <c r="D7" s="9">
        <f>SUM(Table1[Revenue])</f>
        <v>1750049</v>
      </c>
      <c r="G7" s="9">
        <f>SUM(Table1[profit])</f>
        <v>536831</v>
      </c>
      <c r="J7" s="7">
        <f>COUNT(Table1[OrderID])</f>
        <v>300</v>
      </c>
    </row>
    <row r="10" spans="1:10" ht="28.5" customHeight="1" x14ac:dyDescent="0.2">
      <c r="E10" s="6" t="s">
        <v>69</v>
      </c>
      <c r="I10" s="6" t="s">
        <v>77</v>
      </c>
    </row>
    <row r="11" spans="1:10" ht="15.75" x14ac:dyDescent="0.2">
      <c r="E11" s="7">
        <f>COUNTA(Sheet2!A4:A43)</f>
        <v>13</v>
      </c>
      <c r="I11" s="10">
        <f>G7/D7</f>
        <v>0.306751982373065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33:V44"/>
  <sheetViews>
    <sheetView showGridLines="0" topLeftCell="B12" workbookViewId="0">
      <selection activeCell="D34" sqref="D34"/>
    </sheetView>
  </sheetViews>
  <sheetFormatPr defaultRowHeight="14.25" x14ac:dyDescent="0.2"/>
  <sheetData>
    <row r="33" spans="6:22" ht="20.25" x14ac:dyDescent="0.2">
      <c r="F33" s="11"/>
      <c r="G33" s="11"/>
      <c r="H33" s="11"/>
      <c r="I33" s="13" t="s">
        <v>78</v>
      </c>
      <c r="J33" s="13"/>
      <c r="K33" s="13"/>
      <c r="L33" s="13"/>
      <c r="M33" s="13"/>
      <c r="N33" s="13"/>
      <c r="O33" s="13"/>
      <c r="P33" s="13"/>
      <c r="Q33" s="13"/>
      <c r="R33" s="13"/>
      <c r="S33" s="13"/>
      <c r="T33" s="13"/>
      <c r="U33" s="13"/>
      <c r="V33" s="13"/>
    </row>
    <row r="34" spans="6:22" ht="20.25" x14ac:dyDescent="0.2">
      <c r="F34" s="11"/>
      <c r="G34" s="11"/>
      <c r="H34" s="13" t="s">
        <v>79</v>
      </c>
      <c r="I34" s="13"/>
      <c r="J34" s="13"/>
      <c r="K34" s="13"/>
      <c r="L34" s="13"/>
      <c r="M34" s="13"/>
      <c r="N34" s="13"/>
      <c r="O34" s="13"/>
      <c r="P34" s="13"/>
      <c r="Q34" s="13"/>
      <c r="R34" s="13"/>
      <c r="S34" s="13"/>
      <c r="T34" s="13"/>
      <c r="U34" s="13"/>
      <c r="V34" s="13"/>
    </row>
    <row r="35" spans="6:22" ht="20.25" x14ac:dyDescent="0.2">
      <c r="F35" s="11"/>
      <c r="G35" s="11"/>
      <c r="H35" s="11"/>
      <c r="I35" s="11"/>
      <c r="J35" s="11"/>
      <c r="K35" s="13" t="s">
        <v>80</v>
      </c>
      <c r="L35" s="13"/>
      <c r="M35" s="13"/>
      <c r="N35" s="13"/>
      <c r="O35" s="13"/>
      <c r="P35" s="13"/>
      <c r="Q35" s="13"/>
      <c r="R35" s="13"/>
      <c r="S35" s="13"/>
      <c r="T35" s="13"/>
      <c r="U35" s="13"/>
      <c r="V35" s="13"/>
    </row>
    <row r="36" spans="6:22" ht="20.25" x14ac:dyDescent="0.2">
      <c r="F36" s="11"/>
      <c r="G36" s="11"/>
      <c r="H36" s="11"/>
      <c r="I36" s="11"/>
      <c r="J36" s="11"/>
      <c r="K36" s="11"/>
      <c r="L36" s="11"/>
      <c r="M36" s="11"/>
      <c r="N36" s="11"/>
      <c r="O36" s="11"/>
      <c r="P36" s="11"/>
      <c r="Q36" s="13" t="s">
        <v>81</v>
      </c>
      <c r="R36" s="13"/>
      <c r="S36" s="13"/>
      <c r="T36" s="13"/>
      <c r="U36" s="13"/>
      <c r="V36" s="13"/>
    </row>
    <row r="37" spans="6:22" ht="20.25" x14ac:dyDescent="0.2">
      <c r="F37" s="13" t="s">
        <v>82</v>
      </c>
      <c r="G37" s="13"/>
      <c r="H37" s="13"/>
      <c r="I37" s="13"/>
      <c r="J37" s="13"/>
      <c r="K37" s="13"/>
      <c r="L37" s="13"/>
      <c r="M37" s="13"/>
      <c r="N37" s="13"/>
      <c r="O37" s="13"/>
      <c r="P37" s="13"/>
      <c r="Q37" s="13"/>
      <c r="R37" s="13"/>
      <c r="S37" s="13"/>
      <c r="T37" s="13"/>
      <c r="U37" s="13"/>
      <c r="V37" s="13"/>
    </row>
    <row r="38" spans="6:22" x14ac:dyDescent="0.2">
      <c r="I38" s="8"/>
      <c r="J38" s="8"/>
      <c r="K38" s="8"/>
      <c r="L38" s="8"/>
      <c r="M38" s="8"/>
      <c r="N38" s="8"/>
      <c r="O38" s="8"/>
      <c r="P38" s="8"/>
      <c r="Q38" s="8"/>
      <c r="R38" s="8"/>
      <c r="S38" s="8"/>
      <c r="T38" s="8"/>
      <c r="U38" s="8"/>
      <c r="V38" s="8"/>
    </row>
    <row r="39" spans="6:22" x14ac:dyDescent="0.2">
      <c r="I39" s="8"/>
      <c r="J39" s="8"/>
      <c r="K39" s="8"/>
      <c r="L39" s="8"/>
      <c r="M39" s="8"/>
      <c r="N39" s="8"/>
      <c r="O39" s="8"/>
      <c r="P39" s="8"/>
      <c r="Q39" s="8"/>
      <c r="R39" s="8"/>
      <c r="S39" s="8"/>
      <c r="T39" s="8"/>
      <c r="U39" s="8"/>
      <c r="V39" s="8"/>
    </row>
    <row r="40" spans="6:22" x14ac:dyDescent="0.2">
      <c r="I40" s="8"/>
      <c r="J40" s="8"/>
      <c r="K40" s="8"/>
      <c r="L40" s="8"/>
      <c r="M40" s="8"/>
      <c r="N40" s="8"/>
      <c r="O40" s="8"/>
      <c r="P40" s="8"/>
      <c r="Q40" s="8"/>
      <c r="R40" s="8"/>
      <c r="S40" s="8"/>
      <c r="T40" s="8"/>
      <c r="U40" s="8"/>
      <c r="V40" s="8"/>
    </row>
    <row r="41" spans="6:22" x14ac:dyDescent="0.2">
      <c r="I41" s="8"/>
      <c r="J41" s="8"/>
      <c r="K41" s="8"/>
      <c r="L41" s="8"/>
      <c r="M41" s="8"/>
      <c r="N41" s="8"/>
      <c r="O41" s="8"/>
      <c r="P41" s="8"/>
      <c r="Q41" s="8"/>
      <c r="R41" s="8"/>
      <c r="S41" s="8"/>
      <c r="T41" s="8"/>
      <c r="U41" s="8"/>
      <c r="V41" s="8"/>
    </row>
    <row r="42" spans="6:22" x14ac:dyDescent="0.2">
      <c r="I42" s="8"/>
      <c r="J42" s="8"/>
      <c r="K42" s="8"/>
      <c r="L42" s="8"/>
      <c r="M42" s="8"/>
      <c r="N42" s="8"/>
      <c r="O42" s="8"/>
      <c r="P42" s="8"/>
      <c r="Q42" s="8"/>
      <c r="R42" s="8"/>
      <c r="S42" s="8"/>
      <c r="T42" s="8"/>
      <c r="U42" s="8"/>
      <c r="V42" s="8"/>
    </row>
    <row r="43" spans="6:22" x14ac:dyDescent="0.2">
      <c r="I43" s="8"/>
      <c r="J43" s="8"/>
      <c r="K43" s="8"/>
      <c r="L43" s="8"/>
      <c r="M43" s="8"/>
      <c r="N43" s="8"/>
      <c r="O43" s="8"/>
      <c r="P43" s="8"/>
      <c r="Q43" s="8"/>
      <c r="R43" s="8"/>
      <c r="S43" s="8"/>
      <c r="T43" s="8"/>
      <c r="U43" s="8"/>
      <c r="V43" s="8"/>
    </row>
    <row r="44" spans="6:22" x14ac:dyDescent="0.2">
      <c r="I44" s="8"/>
      <c r="J44" s="8"/>
      <c r="K44" s="8"/>
      <c r="L44" s="8"/>
      <c r="M44" s="8"/>
      <c r="N44" s="8"/>
      <c r="O44" s="8"/>
      <c r="P44" s="8"/>
      <c r="Q44" s="8"/>
      <c r="R44" s="8"/>
      <c r="S44" s="8"/>
      <c r="T44" s="8"/>
      <c r="U44" s="8"/>
      <c r="V44" s="8"/>
    </row>
  </sheetData>
  <mergeCells count="5">
    <mergeCell ref="F37:V37"/>
    <mergeCell ref="Q36:V36"/>
    <mergeCell ref="K35:V35"/>
    <mergeCell ref="H34:V34"/>
    <mergeCell ref="I33:V33"/>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SalesData</vt:lpstr>
      <vt:lpstr>Sheet1</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محمد</cp:lastModifiedBy>
  <dcterms:created xsi:type="dcterms:W3CDTF">2026-06-24T20:09:43Z</dcterms:created>
  <dcterms:modified xsi:type="dcterms:W3CDTF">2026-06-26T13:16:20Z</dcterms:modified>
</cp:coreProperties>
</file>